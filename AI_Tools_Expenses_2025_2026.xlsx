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2.996</v>
      </c>
      <c r="C4" s="5" t="inlineStr">
        <is>
          <t>← מקור: Bank of Israel Public API | עודכן: 2026-04-17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0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1.11482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80.46729000000001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11.695594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22.129506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15.130174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127.12283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11.23498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19.002003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17.086115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13.658211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1.028037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21.775701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12.136182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22.840454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5.577437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12.550067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19.002003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3.11749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11.819092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22.316422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5.510681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19.002003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21.962617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5.430574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13.05741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12.716956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16.168224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10.664219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21.869159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5.443925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25.333778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16.281709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10.550734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32.363151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35.390521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38.321095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5.317089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25.333778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148.775033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15.947931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20.660881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21.198264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21.138184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16.655541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40.987984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26.104806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44.726302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5.1502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14.933244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25.88785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25.333778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16.655541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48.271028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20.604139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5.153538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20.881175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51.722296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52.757009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5.233645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10.463952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25.333778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10.440587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15.140187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25.333778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10.413885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41.198264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16.655541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53.294393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20.984646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16.655541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10.383845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11.421896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5.213618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10.493992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25.333778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55.517356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2.353138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20.971295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16.655541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59.92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29.96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16.655541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2026-05-16</t>
        </is>
      </c>
      <c r="B99" s="11" t="inlineStr">
        <is>
          <t>OpenAI</t>
        </is>
      </c>
      <c r="C99" s="11" t="inlineStr">
        <is>
          <t>ChatGPT Plus</t>
        </is>
      </c>
      <c r="D99" s="12" t="n">
        <v>20</v>
      </c>
      <c r="E99" s="13" t="n">
        <v>59.92</v>
      </c>
      <c r="F99" s="10" t="inlineStr">
        <is>
          <t>מאי 2026</t>
        </is>
      </c>
    </row>
    <row r="100">
      <c r="A100" s="14" t="inlineStr">
        <is>
          <t>2026-06-16</t>
        </is>
      </c>
      <c r="B100" s="15" t="inlineStr">
        <is>
          <t>OpenAI</t>
        </is>
      </c>
      <c r="C100" s="15" t="inlineStr">
        <is>
          <t>ChatGPT Plus</t>
        </is>
      </c>
      <c r="D100" s="16" t="n">
        <v>20</v>
      </c>
      <c r="E100" s="17" t="n">
        <v>59.92</v>
      </c>
      <c r="F100" s="14" t="inlineStr">
        <is>
          <t>יוני 2026</t>
        </is>
      </c>
    </row>
    <row r="101">
      <c r="A101" s="10" t="inlineStr">
        <is>
          <t>2026-07-16</t>
        </is>
      </c>
      <c r="B101" s="11" t="inlineStr">
        <is>
          <t>OpenAI</t>
        </is>
      </c>
      <c r="C101" s="11" t="inlineStr">
        <is>
          <t>ChatGPT Plus</t>
        </is>
      </c>
      <c r="D101" s="12" t="n">
        <v>20</v>
      </c>
      <c r="E101" s="13" t="n">
        <v>59.92</v>
      </c>
      <c r="F101" s="10" t="inlineStr">
        <is>
          <t>יולי 2026</t>
        </is>
      </c>
    </row>
    <row r="102">
      <c r="A102" s="14" t="inlineStr">
        <is>
          <t>2026-08-16</t>
        </is>
      </c>
      <c r="B102" s="15" t="inlineStr">
        <is>
          <t>OpenAI</t>
        </is>
      </c>
      <c r="C102" s="15" t="inlineStr">
        <is>
          <t>ChatGPT Plus</t>
        </is>
      </c>
      <c r="D102" s="16" t="n">
        <v>20</v>
      </c>
      <c r="E102" s="17" t="n">
        <v>59.92</v>
      </c>
      <c r="F102" s="14" t="inlineStr">
        <is>
          <t>אוגוסט 2026</t>
        </is>
      </c>
    </row>
    <row r="103">
      <c r="A103" s="10" t="inlineStr">
        <is>
          <t>2026-09-16</t>
        </is>
      </c>
      <c r="B103" s="11" t="inlineStr">
        <is>
          <t>OpenAI</t>
        </is>
      </c>
      <c r="C103" s="11" t="inlineStr">
        <is>
          <t>ChatGPT Plus</t>
        </is>
      </c>
      <c r="D103" s="12" t="n">
        <v>20</v>
      </c>
      <c r="E103" s="13" t="n">
        <v>59.92</v>
      </c>
      <c r="F103" s="10" t="inlineStr">
        <is>
          <t>ספטמבר 2026</t>
        </is>
      </c>
    </row>
    <row r="104">
      <c r="A104" s="14" t="inlineStr">
        <is>
          <t>2026-10-16</t>
        </is>
      </c>
      <c r="B104" s="15" t="inlineStr">
        <is>
          <t>OpenAI</t>
        </is>
      </c>
      <c r="C104" s="15" t="inlineStr">
        <is>
          <t>ChatGPT Plus</t>
        </is>
      </c>
      <c r="D104" s="16" t="n">
        <v>20</v>
      </c>
      <c r="E104" s="17" t="n">
        <v>59.92</v>
      </c>
      <c r="F104" s="14" t="inlineStr">
        <is>
          <t>אוקטובר 2026</t>
        </is>
      </c>
    </row>
    <row r="105">
      <c r="A105" s="10" t="inlineStr">
        <is>
          <t>2026-11-16</t>
        </is>
      </c>
      <c r="B105" s="11" t="inlineStr">
        <is>
          <t>OpenAI</t>
        </is>
      </c>
      <c r="C105" s="11" t="inlineStr">
        <is>
          <t>ChatGPT Plus</t>
        </is>
      </c>
      <c r="D105" s="12" t="n">
        <v>20</v>
      </c>
      <c r="E105" s="13" t="n">
        <v>59.92</v>
      </c>
      <c r="F105" s="10" t="inlineStr">
        <is>
          <t>נובמבר 2026</t>
        </is>
      </c>
    </row>
    <row r="106">
      <c r="A106" s="14" t="inlineStr">
        <is>
          <t>2026-12-16</t>
        </is>
      </c>
      <c r="B106" s="15" t="inlineStr">
        <is>
          <t>OpenAI</t>
        </is>
      </c>
      <c r="C106" s="15" t="inlineStr">
        <is>
          <t>ChatGPT Plus</t>
        </is>
      </c>
      <c r="D106" s="16" t="n">
        <v>20</v>
      </c>
      <c r="E106" s="17" t="n">
        <v>59.92</v>
      </c>
      <c r="F106" s="14" t="inlineStr">
        <is>
          <t>דצמבר 2026</t>
        </is>
      </c>
    </row>
    <row r="107">
      <c r="A107" s="18" t="inlineStr">
        <is>
          <t>סה"כ"</t>
        </is>
      </c>
      <c r="B107" s="19" t="n"/>
      <c r="C107" s="19" t="n"/>
      <c r="D107" s="20">
        <f>SUM(D3:D106)</f>
        <v/>
      </c>
      <c r="E107" s="21">
        <f>SUM(E3:E106)</f>
        <v/>
      </c>
      <c r="F107" s="19" t="n"/>
    </row>
  </sheetData>
  <mergeCells count="2">
    <mergeCell ref="A1:F1"/>
    <mergeCell ref="A107:C10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1.11482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80.46729000000001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11.695594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22.129506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15.130174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127.12283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11.23498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19.002003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17.086115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13.658211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1.028037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21.775701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12.136182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22.840454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5.577437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12.550067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19.002003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3.11749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11.819092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22.316422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5.510681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19.002003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21.962617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5.430574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13.05741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12.716956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16.168224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10.664219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21.869159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5.443925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25.333778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16.281709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10.550734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32.363151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35.390521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38.321095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5.317089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25.333778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148.775033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15.947931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20.660881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21.198264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21.138184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16.655541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40.987984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26.104806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44.726302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5.1502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14.933244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25.88785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25.333778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16.655541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48.271028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20.604139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5.153538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20.881175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51.722296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52.757009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5.233645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10.463952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25.333778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10.440587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15.140187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25.333778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10.413885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41.198264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16.655541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53.294393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20.984646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16.655541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10.383845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11.421896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5.213618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10.493992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25.333778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55.517356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2.353138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20.971295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16.655541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59.92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29.96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16.655541</v>
      </c>
      <c r="E14" s="26" t="n">
        <v>49.9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6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Timeless</t>
        </is>
      </c>
      <c r="B25" s="37">
        <f>SUMIFS('כל ההוצאות'!$D:$D,'כל ההוצאות'!$B:$B,"Timeless",'כל ההוצאות'!$F:$F,"יולי 2025")</f>
        <v/>
      </c>
      <c r="C25" s="38">
        <f>SUMIFS('כל ההוצאות'!$E:$E,'כל ההוצאות'!$B:$B,"Timeless",'כל ההוצאות'!$F:$F,"יולי 2025")</f>
        <v/>
      </c>
      <c r="D25" s="37">
        <f>SUMIFS('כל ההוצאות'!$D:$D,'כל ההוצאות'!$B:$B,"Timeless",'כל ההוצאות'!$F:$F,"אוגוסט 2025")</f>
        <v/>
      </c>
      <c r="E25" s="38">
        <f>SUMIFS('כל ההוצאות'!$E:$E,'כל ההוצאות'!$B:$B,"Timeless",'כל ההוצאות'!$F:$F,"אוגוסט 2025")</f>
        <v/>
      </c>
      <c r="F25" s="37">
        <f>SUMIFS('כל ההוצאות'!$D:$D,'כל ההוצאות'!$B:$B,"Timeless",'כל ההוצאות'!$F:$F,"ספטמבר 2025")</f>
        <v/>
      </c>
      <c r="G25" s="38">
        <f>SUMIFS('כל ההוצאות'!$E:$E,'כל ההוצאות'!$B:$B,"Timeless",'כל ההוצאות'!$F:$F,"ספטמבר 2025")</f>
        <v/>
      </c>
      <c r="H25" s="37">
        <f>SUMIFS('כל ההוצאות'!$D:$D,'כל ההוצאות'!$B:$B,"Timeless",'כל ההוצאות'!$F:$F,"אוקטובר 2025")</f>
        <v/>
      </c>
      <c r="I25" s="38">
        <f>SUMIFS('כל ההוצאות'!$E:$E,'כל ההוצאות'!$B:$B,"Timeless",'כל ההוצאות'!$F:$F,"אוקטובר 2025")</f>
        <v/>
      </c>
      <c r="J25" s="37">
        <f>SUMIFS('כל ההוצאות'!$D:$D,'כל ההוצאות'!$B:$B,"Timeless",'כל ההוצאות'!$F:$F,"נובמבר 2025")</f>
        <v/>
      </c>
      <c r="K25" s="38">
        <f>SUMIFS('כל ההוצאות'!$E:$E,'כל ההוצאות'!$B:$B,"Timeless",'כל ההוצאות'!$F:$F,"נובמבר 2025")</f>
        <v/>
      </c>
      <c r="L25" s="37">
        <f>SUMIFS('כל ההוצאות'!$D:$D,'כל ההוצאות'!$B:$B,"Timeless",'כל ההוצאות'!$F:$F,"דצמבר 2025")</f>
        <v/>
      </c>
      <c r="M25" s="38">
        <f>SUMIFS('כל ההוצאות'!$E:$E,'כל ההוצאות'!$B:$B,"Timeless",'כל ההוצאות'!$F:$F,"דצמבר 2025")</f>
        <v/>
      </c>
      <c r="N25" s="37">
        <f>SUMIFS('כל ההוצאות'!$D:$D,'כל ההוצאות'!$B:$B,"Timeless",'כל ההוצאות'!$F:$F,"ינואר 2026")</f>
        <v/>
      </c>
      <c r="O25" s="38">
        <f>SUMIFS('כל ההוצאות'!$E:$E,'כל ההוצאות'!$B:$B,"Timeless",'כל ההוצאות'!$F:$F,"ינואר 2026")</f>
        <v/>
      </c>
      <c r="P25" s="37">
        <f>SUMIFS('כל ההוצאות'!$D:$D,'כל ההוצאות'!$B:$B,"Timeless",'כל ההוצאות'!$F:$F,"פברואר 2026")</f>
        <v/>
      </c>
      <c r="Q25" s="38">
        <f>SUMIFS('כל ההוצאות'!$E:$E,'כל ההוצאות'!$B:$B,"Timeless",'כל ההוצאות'!$F:$F,"פברואר 2026")</f>
        <v/>
      </c>
      <c r="R25" s="37">
        <f>SUMIFS('כל ההוצאות'!$D:$D,'כל ההוצאות'!$B:$B,"Timeless",'כל ההוצאות'!$F:$F,"מרץ 2026")</f>
        <v/>
      </c>
      <c r="S25" s="38">
        <f>SUMIFS('כל ההוצאות'!$E:$E,'כל ההוצאות'!$B:$B,"Timeless",'כל ההוצאות'!$F:$F,"מרץ 2026")</f>
        <v/>
      </c>
      <c r="T25" s="37">
        <f>SUMIFS('כל ההוצאות'!$D:$D,'כל ההוצאות'!$B:$B,"Timeless",'כל ההוצאות'!$F:$F,"אפריל 2026")</f>
        <v/>
      </c>
      <c r="U25" s="38">
        <f>SUMIFS('כל ההוצאות'!$E:$E,'כל ההוצאות'!$B:$B,"Timeless",'כל ההוצאות'!$F:$F,"אפריל 2026")</f>
        <v/>
      </c>
      <c r="V25" s="37">
        <f>SUMIFS('כל ההוצאות'!$D:$D,'כל ההוצאות'!$B:$B,"Timeless",'כל ההוצאות'!$F:$F,"מאי 2026")</f>
        <v/>
      </c>
      <c r="W25" s="38">
        <f>SUMIFS('כל ההוצאות'!$E:$E,'כל ההוצאות'!$B:$B,"Timeless",'כל ההוצאות'!$F:$F,"מאי 2026")</f>
        <v/>
      </c>
      <c r="X25" s="37">
        <f>SUMIFS('כל ההוצאות'!$D:$D,'כל ההוצאות'!$B:$B,"Timeless",'כל ההוצאות'!$F:$F,"יוני 2026")</f>
        <v/>
      </c>
      <c r="Y25" s="38">
        <f>SUMIFS('כל ההוצאות'!$E:$E,'כל ההוצאות'!$B:$B,"Timeless",'כל ההוצאות'!$F:$F,"יוני 2026")</f>
        <v/>
      </c>
      <c r="Z25" s="37">
        <f>SUMIFS('כל ההוצאות'!$D:$D,'כל ההוצאות'!$B:$B,"Timeless",'כל ההוצאות'!$F:$F,"יולי 2026")</f>
        <v/>
      </c>
      <c r="AA25" s="38">
        <f>SUMIFS('כל ההוצאות'!$E:$E,'כל ההוצאות'!$B:$B,"Timeless",'כל ההוצאות'!$F:$F,"יולי 2026")</f>
        <v/>
      </c>
      <c r="AB25" s="37">
        <f>SUMIFS('כל ההוצאות'!$D:$D,'כל ההוצאות'!$B:$B,"Timeless",'כל ההוצאות'!$F:$F,"אוגוסט 2026")</f>
        <v/>
      </c>
      <c r="AC25" s="38">
        <f>SUMIFS('כל ההוצאות'!$E:$E,'כל ההוצאות'!$B:$B,"Timeless",'כל ההוצאות'!$F:$F,"אוגוסט 2026")</f>
        <v/>
      </c>
      <c r="AD25" s="37">
        <f>SUMIFS('כל ההוצאות'!$D:$D,'כל ההוצאות'!$B:$B,"Timeless",'כל ההוצאות'!$F:$F,"ספטמבר 2026")</f>
        <v/>
      </c>
      <c r="AE25" s="38">
        <f>SUMIFS('כל ההוצאות'!$E:$E,'כל ההוצאות'!$B:$B,"Timeless",'כל ההוצאות'!$F:$F,"ספטמבר 2026")</f>
        <v/>
      </c>
      <c r="AF25" s="37">
        <f>SUMIFS('כל ההוצאות'!$D:$D,'כל ההוצאות'!$B:$B,"Timeless",'כל ההוצאות'!$F:$F,"אוקטובר 2026")</f>
        <v/>
      </c>
      <c r="AG25" s="38">
        <f>SUMIFS('כל ההוצאות'!$E:$E,'כל ההוצאות'!$B:$B,"Timeless",'כל ההוצאות'!$F:$F,"אוקטובר 2026")</f>
        <v/>
      </c>
      <c r="AH25" s="37">
        <f>SUMIFS('כל ההוצאות'!$D:$D,'כל ההוצאות'!$B:$B,"Timeless",'כל ההוצאות'!$F:$F,"נובמבר 2026")</f>
        <v/>
      </c>
      <c r="AI25" s="38">
        <f>SUMIFS('כל ההוצאות'!$E:$E,'כל ההוצאות'!$B:$B,"Timeless",'כל ההוצאות'!$F:$F,"נובמבר 2026")</f>
        <v/>
      </c>
      <c r="AJ25" s="37">
        <f>SUMIFS('כל ההוצאות'!$D:$D,'כל ההוצאות'!$B:$B,"Timeless",'כל ההוצאות'!$F:$F,"דצמבר 2026")</f>
        <v/>
      </c>
      <c r="AK25" s="38">
        <f>SUMIFS('כל ההוצאות'!$E:$E,'כל ההוצאות'!$B:$B,"Timeless",'כל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 ht="24" customHeight="1">
      <c r="A26" s="30" t="inlineStr">
        <is>
          <t>סה"כ חודשי</t>
        </is>
      </c>
      <c r="B26" s="20">
        <f>SUM(B5:B25)</f>
        <v/>
      </c>
      <c r="C26" s="21">
        <f>SUM(C5:C25)</f>
        <v/>
      </c>
      <c r="D26" s="20">
        <f>SUM(D5:D25)</f>
        <v/>
      </c>
      <c r="E26" s="21">
        <f>SUM(E5:E25)</f>
        <v/>
      </c>
      <c r="F26" s="20">
        <f>SUM(F5:F25)</f>
        <v/>
      </c>
      <c r="G26" s="21">
        <f>SUM(G5:G25)</f>
        <v/>
      </c>
      <c r="H26" s="20">
        <f>SUM(H5:H25)</f>
        <v/>
      </c>
      <c r="I26" s="21">
        <f>SUM(I5:I25)</f>
        <v/>
      </c>
      <c r="J26" s="20">
        <f>SUM(J5:J25)</f>
        <v/>
      </c>
      <c r="K26" s="21">
        <f>SUM(K5:K25)</f>
        <v/>
      </c>
      <c r="L26" s="20">
        <f>SUM(L5:L25)</f>
        <v/>
      </c>
      <c r="M26" s="21">
        <f>SUM(M5:M25)</f>
        <v/>
      </c>
      <c r="N26" s="20">
        <f>SUM(N5:N25)</f>
        <v/>
      </c>
      <c r="O26" s="21">
        <f>SUM(O5:O25)</f>
        <v/>
      </c>
      <c r="P26" s="20">
        <f>SUM(P5:P25)</f>
        <v/>
      </c>
      <c r="Q26" s="21">
        <f>SUM(Q5:Q25)</f>
        <v/>
      </c>
      <c r="R26" s="20">
        <f>SUM(R5:R25)</f>
        <v/>
      </c>
      <c r="S26" s="21">
        <f>SUM(S5:S25)</f>
        <v/>
      </c>
      <c r="T26" s="20">
        <f>SUM(T5:T25)</f>
        <v/>
      </c>
      <c r="U26" s="21">
        <f>SUM(U5:U25)</f>
        <v/>
      </c>
      <c r="V26" s="20">
        <f>SUM(V5:V25)</f>
        <v/>
      </c>
      <c r="W26" s="21">
        <f>SUM(W5:W25)</f>
        <v/>
      </c>
      <c r="X26" s="20">
        <f>SUM(X5:X25)</f>
        <v/>
      </c>
      <c r="Y26" s="21">
        <f>SUM(Y5:Y25)</f>
        <v/>
      </c>
      <c r="Z26" s="20">
        <f>SUM(Z5:Z25)</f>
        <v/>
      </c>
      <c r="AA26" s="21">
        <f>SUM(AA5:AA25)</f>
        <v/>
      </c>
      <c r="AB26" s="20">
        <f>SUM(AB5:AB25)</f>
        <v/>
      </c>
      <c r="AC26" s="21">
        <f>SUM(AC5:AC25)</f>
        <v/>
      </c>
      <c r="AD26" s="20">
        <f>SUM(AD5:AD25)</f>
        <v/>
      </c>
      <c r="AE26" s="21">
        <f>SUM(AE5:AE25)</f>
        <v/>
      </c>
      <c r="AF26" s="20">
        <f>SUM(AF5:AF25)</f>
        <v/>
      </c>
      <c r="AG26" s="21">
        <f>SUM(AG5:AG25)</f>
        <v/>
      </c>
      <c r="AH26" s="20">
        <f>SUM(AH5:AH25)</f>
        <v/>
      </c>
      <c r="AI26" s="21">
        <f>SUM(AI5:AI25)</f>
        <v/>
      </c>
      <c r="AJ26" s="20">
        <f>SUM(AJ5:AJ25)</f>
        <v/>
      </c>
      <c r="AK26" s="21">
        <f>SUM(AK5:AK25)</f>
        <v/>
      </c>
      <c r="AL26" s="44">
        <f>SUM(AL5:AL25)</f>
        <v/>
      </c>
      <c r="AM26" s="45">
        <f>SUM(AM5:AM25)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2026-04-19T14:23:11Z</dcterms:created>
  <dcterms:modified xmlns:dcterms="http://purl.org/dc/terms/" xmlns:xsi="http://www.w3.org/2001/XMLSchema-instance" xsi:type="dcterms:W3CDTF">2026-04-19T14:23:12Z</dcterms:modified>
</cp:coreProperties>
</file>