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xmlns:r="http://schemas.openxmlformats.org/officeDocument/2006/relationships" name="הגדרות" sheetId="1" state="visible" r:id="rId1"/>
    <sheet xmlns:r="http://schemas.openxmlformats.org/officeDocument/2006/relationships" name="כל ההוצאות" sheetId="2" state="visible" r:id="rId2"/>
    <sheet xmlns:r="http://schemas.openxmlformats.org/officeDocument/2006/relationships" name="יולי 2025" sheetId="3" state="visible" r:id="rId3"/>
    <sheet xmlns:r="http://schemas.openxmlformats.org/officeDocument/2006/relationships" name="אוגוסט 2025" sheetId="4" state="visible" r:id="rId4"/>
    <sheet xmlns:r="http://schemas.openxmlformats.org/officeDocument/2006/relationships" name="ספטמבר 2025" sheetId="5" state="visible" r:id="rId5"/>
    <sheet xmlns:r="http://schemas.openxmlformats.org/officeDocument/2006/relationships" name="אוקטובר 2025" sheetId="6" state="visible" r:id="rId6"/>
    <sheet xmlns:r="http://schemas.openxmlformats.org/officeDocument/2006/relationships" name="נובמבר 2025" sheetId="7" state="visible" r:id="rId7"/>
    <sheet xmlns:r="http://schemas.openxmlformats.org/officeDocument/2006/relationships" name="דצמבר 2025" sheetId="8" state="visible" r:id="rId8"/>
    <sheet xmlns:r="http://schemas.openxmlformats.org/officeDocument/2006/relationships" name="ינואר 2026" sheetId="9" state="visible" r:id="rId9"/>
    <sheet xmlns:r="http://schemas.openxmlformats.org/officeDocument/2006/relationships" name="פברואר 2026" sheetId="10" state="visible" r:id="rId10"/>
    <sheet xmlns:r="http://schemas.openxmlformats.org/officeDocument/2006/relationships" name="מרץ 2026" sheetId="11" state="visible" r:id="rId11"/>
    <sheet xmlns:r="http://schemas.openxmlformats.org/officeDocument/2006/relationships" name="אפריל 2026" sheetId="12" state="visible" r:id="rId12"/>
    <sheet xmlns:r="http://schemas.openxmlformats.org/officeDocument/2006/relationships" name="מאי 2026" sheetId="13" state="visible" r:id="rId13"/>
    <sheet xmlns:r="http://schemas.openxmlformats.org/officeDocument/2006/relationships" name="יוני 2026" sheetId="14" state="visible" r:id="rId14"/>
    <sheet xmlns:r="http://schemas.openxmlformats.org/officeDocument/2006/relationships" name="יולי 2026" sheetId="15" state="visible" r:id="rId15"/>
    <sheet xmlns:r="http://schemas.openxmlformats.org/officeDocument/2006/relationships" name="אוגוסט 2026" sheetId="16" state="visible" r:id="rId16"/>
    <sheet xmlns:r="http://schemas.openxmlformats.org/officeDocument/2006/relationships" name="ספטמבר 2026" sheetId="17" state="visible" r:id="rId17"/>
    <sheet xmlns:r="http://schemas.openxmlformats.org/officeDocument/2006/relationships" name="אוקטובר 2026" sheetId="18" state="visible" r:id="rId18"/>
    <sheet xmlns:r="http://schemas.openxmlformats.org/officeDocument/2006/relationships" name="נובמבר 2026" sheetId="19" state="visible" r:id="rId19"/>
    <sheet xmlns:r="http://schemas.openxmlformats.org/officeDocument/2006/relationships" name="דצמבר 2026" sheetId="20" state="visible" r:id="rId20"/>
    <sheet xmlns:r="http://schemas.openxmlformats.org/officeDocument/2006/relationships" name="סיכום חודשי" sheetId="21" state="visible" r:id="rId21"/>
    <sheet xmlns:r="http://schemas.openxmlformats.org/officeDocument/2006/relationships"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styles" Target="styles.xml" Id="rId23"/><Relationship Type="http://schemas.openxmlformats.org/officeDocument/2006/relationships/theme" Target="theme/theme1.xml" Id="rId24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 xmlns:a="http://schemas.openxmlformats.org/drawingml/2006/main"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Relationship Type="http://schemas.openxmlformats.org/officeDocument/2006/relationships/drawing" Target="/xl/drawings/drawing1.xml" Id="rId19"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2.951</v>
      </c>
      <c r="C4" s="5" t="inlineStr">
        <is>
          <t>← מקור: Bank of Israel Public API | עודכן: 2026-04-30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23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1.13182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81.69434099999999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11.873941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22.46696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15.360895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129.061335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11.406303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19.291766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17.346662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13.866486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1.043714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22.10776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12.321247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23.18875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5.662487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12.741444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19.291766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3.165029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11.999322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22.656727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5.594714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19.291766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22.297526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5.513385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13.256523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12.910878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16.414775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10.826838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22.202643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5.52694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25.720095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16.52999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10.711623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32.856659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35.930193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38.905456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5.39817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25.720095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151.043714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16.191122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20.97594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21.521518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21.460522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16.909522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41.613013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26.50288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45.408336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5.228736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15.160962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26.282616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25.720095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32.995595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16.909522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49.007116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20.918333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5.232125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21.199593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52.511013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53.561505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5.313453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10.623517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25.720095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10.599797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15.371061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25.720095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10.572687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41.826499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16.909522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54.107082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21.304642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16.909522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10.542189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11.596069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5.293121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20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10.654016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25.720095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56.363944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18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2.389021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21.291088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16.909522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59.02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29.51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59.02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16.909522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81.2</v>
      </c>
      <c r="E99" s="13" t="n">
        <v>239.62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14.76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44.68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29.51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29.95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29.57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30.99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32.96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73.78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45.95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31.69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29.98</v>
      </c>
      <c r="F110" s="14" t="inlineStr">
        <is>
          <t>אפריל 2026</t>
        </is>
      </c>
    </row>
    <row r="111">
      <c r="A111" s="10" t="inlineStr">
        <is>
          <t>2026-04-26</t>
        </is>
      </c>
      <c r="B111" s="11" t="inlineStr">
        <is>
          <t>Lovable</t>
        </is>
      </c>
      <c r="C111" s="11" t="inlineStr">
        <is>
          <t>Lovable</t>
        </is>
      </c>
      <c r="D111" s="12" t="n">
        <v>5</v>
      </c>
      <c r="E111" s="13" t="n">
        <v>14.76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Meta (Ads)</t>
        </is>
      </c>
      <c r="C112" s="15" t="inlineStr">
        <is>
          <t>Facebook Ads</t>
        </is>
      </c>
      <c r="D112" s="16" t="n">
        <v>51</v>
      </c>
      <c r="E112" s="17" t="n">
        <v>150.5</v>
      </c>
      <c r="F112" s="14" t="inlineStr">
        <is>
          <t>אפריל 2026</t>
        </is>
      </c>
    </row>
    <row r="113">
      <c r="A113" s="10" t="inlineStr">
        <is>
          <t>2026-04-27</t>
        </is>
      </c>
      <c r="B113" s="11" t="inlineStr">
        <is>
          <t>Higgsfield</t>
        </is>
      </c>
      <c r="C113" s="11" t="inlineStr">
        <is>
          <t>Credit Package</t>
        </is>
      </c>
      <c r="D113" s="12" t="n">
        <v>40.5</v>
      </c>
      <c r="E113" s="13" t="n">
        <v>119.52</v>
      </c>
      <c r="F113" s="10" t="inlineStr">
        <is>
          <t>אפריל 2026</t>
        </is>
      </c>
    </row>
    <row r="114">
      <c r="A114" s="14" t="inlineStr">
        <is>
          <t>2026-04-28</t>
        </is>
      </c>
      <c r="B114" s="15" t="inlineStr">
        <is>
          <t>Anthropic</t>
        </is>
      </c>
      <c r="C114" s="15" t="inlineStr">
        <is>
          <t>Auto recharge extra usage, Individual plan</t>
        </is>
      </c>
      <c r="D114" s="16" t="n">
        <v>10.56</v>
      </c>
      <c r="E114" s="17" t="n">
        <v>31.16</v>
      </c>
      <c r="F114" s="14" t="inlineStr">
        <is>
          <t>אפריל 2026</t>
        </is>
      </c>
    </row>
    <row r="115">
      <c r="A115" s="10" t="inlineStr">
        <is>
          <t>2026-05-16</t>
        </is>
      </c>
      <c r="B115" s="11" t="inlineStr">
        <is>
          <t>OpenAI</t>
        </is>
      </c>
      <c r="C115" s="11" t="inlineStr">
        <is>
          <t>ChatGPT Plus</t>
        </is>
      </c>
      <c r="D115" s="12" t="n">
        <v>20</v>
      </c>
      <c r="E115" s="13" t="n">
        <v>59.02</v>
      </c>
      <c r="F115" s="10" t="inlineStr">
        <is>
          <t>מאי 2026</t>
        </is>
      </c>
    </row>
    <row r="116">
      <c r="A116" s="14" t="inlineStr">
        <is>
          <t>2026-06-16</t>
        </is>
      </c>
      <c r="B116" s="15" t="inlineStr">
        <is>
          <t>OpenAI</t>
        </is>
      </c>
      <c r="C116" s="15" t="inlineStr">
        <is>
          <t>ChatGPT Plus</t>
        </is>
      </c>
      <c r="D116" s="16" t="n">
        <v>20</v>
      </c>
      <c r="E116" s="17" t="n">
        <v>59.02</v>
      </c>
      <c r="F116" s="14" t="inlineStr">
        <is>
          <t>יוני 2026</t>
        </is>
      </c>
    </row>
    <row r="117">
      <c r="A117" s="10" t="inlineStr">
        <is>
          <t>2026-07-16</t>
        </is>
      </c>
      <c r="B117" s="11" t="inlineStr">
        <is>
          <t>OpenAI</t>
        </is>
      </c>
      <c r="C117" s="11" t="inlineStr">
        <is>
          <t>ChatGPT Plus</t>
        </is>
      </c>
      <c r="D117" s="12" t="n">
        <v>20</v>
      </c>
      <c r="E117" s="13" t="n">
        <v>59.02</v>
      </c>
      <c r="F117" s="10" t="inlineStr">
        <is>
          <t>יולי 2026</t>
        </is>
      </c>
    </row>
    <row r="118">
      <c r="A118" s="14" t="inlineStr">
        <is>
          <t>2026-08-16</t>
        </is>
      </c>
      <c r="B118" s="15" t="inlineStr">
        <is>
          <t>OpenAI</t>
        </is>
      </c>
      <c r="C118" s="15" t="inlineStr">
        <is>
          <t>ChatGPT Plus</t>
        </is>
      </c>
      <c r="D118" s="16" t="n">
        <v>20</v>
      </c>
      <c r="E118" s="17" t="n">
        <v>59.02</v>
      </c>
      <c r="F118" s="14" t="inlineStr">
        <is>
          <t>אוגוסט 2026</t>
        </is>
      </c>
    </row>
    <row r="119">
      <c r="A119" s="10" t="inlineStr">
        <is>
          <t>2026-09-16</t>
        </is>
      </c>
      <c r="B119" s="11" t="inlineStr">
        <is>
          <t>OpenAI</t>
        </is>
      </c>
      <c r="C119" s="11" t="inlineStr">
        <is>
          <t>ChatGPT Plus</t>
        </is>
      </c>
      <c r="D119" s="12" t="n">
        <v>20</v>
      </c>
      <c r="E119" s="13" t="n">
        <v>59.02</v>
      </c>
      <c r="F119" s="10" t="inlineStr">
        <is>
          <t>ספטמבר 2026</t>
        </is>
      </c>
    </row>
    <row r="120">
      <c r="A120" s="14" t="inlineStr">
        <is>
          <t>2026-10-16</t>
        </is>
      </c>
      <c r="B120" s="15" t="inlineStr">
        <is>
          <t>OpenAI</t>
        </is>
      </c>
      <c r="C120" s="15" t="inlineStr">
        <is>
          <t>ChatGPT Plus</t>
        </is>
      </c>
      <c r="D120" s="16" t="n">
        <v>20</v>
      </c>
      <c r="E120" s="17" t="n">
        <v>59.02</v>
      </c>
      <c r="F120" s="14" t="inlineStr">
        <is>
          <t>אוקטובר 2026</t>
        </is>
      </c>
    </row>
    <row r="121">
      <c r="A121" s="10" t="inlineStr">
        <is>
          <t>2026-11-16</t>
        </is>
      </c>
      <c r="B121" s="11" t="inlineStr">
        <is>
          <t>OpenAI</t>
        </is>
      </c>
      <c r="C121" s="11" t="inlineStr">
        <is>
          <t>ChatGPT Plus</t>
        </is>
      </c>
      <c r="D121" s="12" t="n">
        <v>20</v>
      </c>
      <c r="E121" s="13" t="n">
        <v>59.02</v>
      </c>
      <c r="F121" s="10" t="inlineStr">
        <is>
          <t>נובמבר 2026</t>
        </is>
      </c>
    </row>
    <row r="122">
      <c r="A122" s="14" t="inlineStr">
        <is>
          <t>2026-12-16</t>
        </is>
      </c>
      <c r="B122" s="15" t="inlineStr">
        <is>
          <t>OpenAI</t>
        </is>
      </c>
      <c r="C122" s="15" t="inlineStr">
        <is>
          <t>ChatGPT Plus</t>
        </is>
      </c>
      <c r="D122" s="16" t="n">
        <v>20</v>
      </c>
      <c r="E122" s="17" t="n">
        <v>59.02</v>
      </c>
      <c r="F122" s="14" t="inlineStr">
        <is>
          <t>דצמבר 2026</t>
        </is>
      </c>
    </row>
    <row r="123">
      <c r="A123" s="18" t="inlineStr">
        <is>
          <t>סה"כ"</t>
        </is>
      </c>
      <c r="B123" s="19" t="n"/>
      <c r="C123" s="19" t="n"/>
      <c r="D123" s="20">
        <f>SUM(D3:D122)</f>
        <v/>
      </c>
      <c r="E123" s="21">
        <f>SUM(E3:E122)</f>
        <v/>
      </c>
      <c r="F123" s="19" t="n"/>
    </row>
  </sheetData>
  <mergeCells count="2">
    <mergeCell ref="A123:C123"/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1.13182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81.69434099999999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11.873941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22.46696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15.360895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129.061335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11.406303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19.291766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17.346662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13.866486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1.043714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22.10776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12.321247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23.18875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5.662487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12.741444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19.291766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3.165029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11.999322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22.656727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5.594714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19.291766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22.297526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5.513385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13.256523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12.910878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16.414775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10.826838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22.202643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5.52694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25.720095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16.52999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10.711623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32.856659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35.930193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38.905456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5.39817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25.720095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151.043714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16.191122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20.97594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21.521518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21.460522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16.909522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41.613013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26.50288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45.408336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5.228736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15.160962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26.282616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25.720095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32.995595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16.909522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49.007116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20.918333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5.232125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21.199593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52.511013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53.561505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5.313453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10.623517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25.720095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10.599797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15.371061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25.720095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10.572687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41.826499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16.909522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54.107082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21.304642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16.909522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10.542189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11.596069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5.293121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20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10.654016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25.720095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56.363944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18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2.389021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21.291088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16.909522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59.02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29.51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59.02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16.909522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81.2</v>
      </c>
      <c r="E15" s="28" t="n">
        <v>239.62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14.76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44.68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29.51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29.95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29.57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30.99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32.96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73.78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45.95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31.69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29.98</v>
      </c>
      <c r="F26" s="24" t="n"/>
    </row>
    <row r="27">
      <c r="A27" s="10" t="inlineStr">
        <is>
          <t>2026-04-26</t>
        </is>
      </c>
      <c r="B27" s="11" t="inlineStr">
        <is>
          <t>Lovable</t>
        </is>
      </c>
      <c r="C27" s="11" t="inlineStr">
        <is>
          <t>Lovable</t>
        </is>
      </c>
      <c r="D27" s="27" t="n">
        <v>5</v>
      </c>
      <c r="E27" s="28" t="n">
        <v>14.76</v>
      </c>
      <c r="F27" s="29" t="n"/>
    </row>
    <row r="28">
      <c r="A28" s="14" t="inlineStr">
        <is>
          <t>2026-04-26</t>
        </is>
      </c>
      <c r="B28" s="15" t="inlineStr">
        <is>
          <t>Meta (Ads)</t>
        </is>
      </c>
      <c r="C28" s="15" t="inlineStr">
        <is>
          <t>Facebook Ads</t>
        </is>
      </c>
      <c r="D28" s="25" t="n">
        <v>51</v>
      </c>
      <c r="E28" s="26" t="n">
        <v>150.5</v>
      </c>
      <c r="F28" s="24" t="n"/>
    </row>
    <row r="29">
      <c r="A29" s="10" t="inlineStr">
        <is>
          <t>2026-04-27</t>
        </is>
      </c>
      <c r="B29" s="11" t="inlineStr">
        <is>
          <t>Higgsfield</t>
        </is>
      </c>
      <c r="C29" s="11" t="inlineStr">
        <is>
          <t>Credit Package</t>
        </is>
      </c>
      <c r="D29" s="27" t="n">
        <v>40.5</v>
      </c>
      <c r="E29" s="28" t="n">
        <v>119.52</v>
      </c>
      <c r="F29" s="29" t="n"/>
    </row>
    <row r="30">
      <c r="A30" s="14" t="inlineStr">
        <is>
          <t>2026-04-28</t>
        </is>
      </c>
      <c r="B30" s="15" t="inlineStr">
        <is>
          <t>Anthropic</t>
        </is>
      </c>
      <c r="C30" s="15" t="inlineStr">
        <is>
          <t>Auto recharge extra usage, Individual plan</t>
        </is>
      </c>
      <c r="D30" s="25" t="n">
        <v>10.56</v>
      </c>
      <c r="E30" s="26" t="n">
        <v>31.16</v>
      </c>
      <c r="F30" s="24" t="n"/>
    </row>
    <row r="31" ht="24" customHeight="1">
      <c r="A31" s="30" t="inlineStr">
        <is>
          <t>סה"כ חודש"</t>
        </is>
      </c>
      <c r="B31" s="31" t="n"/>
      <c r="C31" s="31" t="n"/>
      <c r="D31" s="20">
        <f>SUM(D4:D30)</f>
        <v/>
      </c>
      <c r="E31" s="21">
        <f>SUM(E4:E30)</f>
        <v/>
      </c>
      <c r="F31" s="31" t="n"/>
    </row>
  </sheetData>
  <mergeCells count="2">
    <mergeCell ref="A31:C31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7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Workspace</t>
        </is>
      </c>
      <c r="B11" s="37">
        <f>SUMIFS('כל ההוצאות'!$D:$D,'כל ההוצאות'!$B:$B,"Google Workspace",'כל ההוצאות'!$F:$F,"יולי 2025")</f>
        <v/>
      </c>
      <c r="C11" s="38">
        <f>SUMIFS('כל ההוצאות'!$E:$E,'כל ההוצאות'!$B:$B,"Google Workspace",'כל ההוצאות'!$F:$F,"יולי 2025")</f>
        <v/>
      </c>
      <c r="D11" s="37">
        <f>SUMIFS('כל ההוצאות'!$D:$D,'כל ההוצאות'!$B:$B,"Google Workspace",'כל ההוצאות'!$F:$F,"אוגוסט 2025")</f>
        <v/>
      </c>
      <c r="E11" s="38">
        <f>SUMIFS('כל ההוצאות'!$E:$E,'כל ההוצאות'!$B:$B,"Google Workspace",'כל ההוצאות'!$F:$F,"אוגוסט 2025")</f>
        <v/>
      </c>
      <c r="F11" s="37">
        <f>SUMIFS('כל ההוצאות'!$D:$D,'כל ההוצאות'!$B:$B,"Google Workspace",'כל ההוצאות'!$F:$F,"ספטמבר 2025")</f>
        <v/>
      </c>
      <c r="G11" s="38">
        <f>SUMIFS('כל ההוצאות'!$E:$E,'כל ההוצאות'!$B:$B,"Google Workspace",'כל ההוצאות'!$F:$F,"ספטמבר 2025")</f>
        <v/>
      </c>
      <c r="H11" s="37">
        <f>SUMIFS('כל ההוצאות'!$D:$D,'כל ההוצאות'!$B:$B,"Google Workspace",'כל ההוצאות'!$F:$F,"אוקטובר 2025")</f>
        <v/>
      </c>
      <c r="I11" s="38">
        <f>SUMIFS('כל ההוצאות'!$E:$E,'כל ההוצאות'!$B:$B,"Google Workspace",'כל ההוצאות'!$F:$F,"אוקטובר 2025")</f>
        <v/>
      </c>
      <c r="J11" s="37">
        <f>SUMIFS('כל ההוצאות'!$D:$D,'כל ההוצאות'!$B:$B,"Google Workspace",'כל ההוצאות'!$F:$F,"נובמבר 2025")</f>
        <v/>
      </c>
      <c r="K11" s="38">
        <f>SUMIFS('כל ההוצאות'!$E:$E,'כל ההוצאות'!$B:$B,"Google Workspace",'כל ההוצאות'!$F:$F,"נובמבר 2025")</f>
        <v/>
      </c>
      <c r="L11" s="37">
        <f>SUMIFS('כל ההוצאות'!$D:$D,'כל ההוצאות'!$B:$B,"Google Workspace",'כל ההוצאות'!$F:$F,"דצמבר 2025")</f>
        <v/>
      </c>
      <c r="M11" s="38">
        <f>SUMIFS('כל ההוצאות'!$E:$E,'כל ההוצאות'!$B:$B,"Google Workspace",'כל ההוצאות'!$F:$F,"דצמבר 2025")</f>
        <v/>
      </c>
      <c r="N11" s="37">
        <f>SUMIFS('כל ההוצאות'!$D:$D,'כל ההוצאות'!$B:$B,"Google Workspace",'כל ההוצאות'!$F:$F,"ינואר 2026")</f>
        <v/>
      </c>
      <c r="O11" s="38">
        <f>SUMIFS('כל ההוצאות'!$E:$E,'כל ההוצאות'!$B:$B,"Google Workspace",'כל ההוצאות'!$F:$F,"ינואר 2026")</f>
        <v/>
      </c>
      <c r="P11" s="37">
        <f>SUMIFS('כל ההוצאות'!$D:$D,'כל ההוצאות'!$B:$B,"Google Workspace",'כל ההוצאות'!$F:$F,"פברואר 2026")</f>
        <v/>
      </c>
      <c r="Q11" s="38">
        <f>SUMIFS('כל ההוצאות'!$E:$E,'כל ההוצאות'!$B:$B,"Google Workspace",'כל ההוצאות'!$F:$F,"פברואר 2026")</f>
        <v/>
      </c>
      <c r="R11" s="37">
        <f>SUMIFS('כל ההוצאות'!$D:$D,'כל ההוצאות'!$B:$B,"Google Workspace",'כל ההוצאות'!$F:$F,"מרץ 2026")</f>
        <v/>
      </c>
      <c r="S11" s="38">
        <f>SUMIFS('כל ההוצאות'!$E:$E,'כל ההוצאות'!$B:$B,"Google Workspace",'כל ההוצאות'!$F:$F,"מרץ 2026")</f>
        <v/>
      </c>
      <c r="T11" s="37">
        <f>SUMIFS('כל ההוצאות'!$D:$D,'כל ההוצאות'!$B:$B,"Google Workspace",'כל ההוצאות'!$F:$F,"אפריל 2026")</f>
        <v/>
      </c>
      <c r="U11" s="38">
        <f>SUMIFS('כל ההוצאות'!$E:$E,'כל ההוצאות'!$B:$B,"Google Workspace",'כל ההוצאות'!$F:$F,"אפריל 2026")</f>
        <v/>
      </c>
      <c r="V11" s="37">
        <f>SUMIFS('כל ההוצאות'!$D:$D,'כל ההוצאות'!$B:$B,"Google Workspace",'כל ההוצאות'!$F:$F,"מאי 2026")</f>
        <v/>
      </c>
      <c r="W11" s="38">
        <f>SUMIFS('כל ההוצאות'!$E:$E,'כל ההוצאות'!$B:$B,"Google Workspace",'כל ההוצאות'!$F:$F,"מאי 2026")</f>
        <v/>
      </c>
      <c r="X11" s="37">
        <f>SUMIFS('כל ההוצאות'!$D:$D,'כל ההוצאות'!$B:$B,"Google Workspace",'כל ההוצאות'!$F:$F,"יוני 2026")</f>
        <v/>
      </c>
      <c r="Y11" s="38">
        <f>SUMIFS('כל ההוצאות'!$E:$E,'כל ההוצאות'!$B:$B,"Google Workspace",'כל ההוצאות'!$F:$F,"יוני 2026")</f>
        <v/>
      </c>
      <c r="Z11" s="37">
        <f>SUMIFS('כל ההוצאות'!$D:$D,'כל ההוצאות'!$B:$B,"Google Workspace",'כל ההוצאות'!$F:$F,"יולי 2026")</f>
        <v/>
      </c>
      <c r="AA11" s="38">
        <f>SUMIFS('כל ההוצאות'!$E:$E,'כל ההוצאות'!$B:$B,"Google Workspace",'כל ההוצאות'!$F:$F,"יולי 2026")</f>
        <v/>
      </c>
      <c r="AB11" s="37">
        <f>SUMIFS('כל ההוצאות'!$D:$D,'כל ההוצאות'!$B:$B,"Google Workspace",'כל ההוצאות'!$F:$F,"אוגוסט 2026")</f>
        <v/>
      </c>
      <c r="AC11" s="38">
        <f>SUMIFS('כל ההוצאות'!$E:$E,'כל ההוצאות'!$B:$B,"Google Workspace",'כל ההוצאות'!$F:$F,"אוגוסט 2026")</f>
        <v/>
      </c>
      <c r="AD11" s="37">
        <f>SUMIFS('כל ההוצאות'!$D:$D,'כל ההוצאות'!$B:$B,"Google Workspace",'כל ההוצאות'!$F:$F,"ספטמבר 2026")</f>
        <v/>
      </c>
      <c r="AE11" s="38">
        <f>SUMIFS('כל ההוצאות'!$E:$E,'כל ההוצאות'!$B:$B,"Google Workspace",'כל ההוצאות'!$F:$F,"ספטמבר 2026")</f>
        <v/>
      </c>
      <c r="AF11" s="37">
        <f>SUMIFS('כל ההוצאות'!$D:$D,'כל ההוצאות'!$B:$B,"Google Workspace",'כל ההוצאות'!$F:$F,"אוקטובר 2026")</f>
        <v/>
      </c>
      <c r="AG11" s="38">
        <f>SUMIFS('כל ההוצאות'!$E:$E,'כל ההוצאות'!$B:$B,"Google Workspace",'כל ההוצאות'!$F:$F,"אוקטובר 2026")</f>
        <v/>
      </c>
      <c r="AH11" s="37">
        <f>SUMIFS('כל ההוצאות'!$D:$D,'כל ההוצאות'!$B:$B,"Google Workspace",'כל ההוצאות'!$F:$F,"נובמבר 2026")</f>
        <v/>
      </c>
      <c r="AI11" s="38">
        <f>SUMIFS('כל ההוצאות'!$E:$E,'כל ההוצאות'!$B:$B,"Google Workspace",'כל ההוצאות'!$F:$F,"נובמבר 2026")</f>
        <v/>
      </c>
      <c r="AJ11" s="37">
        <f>SUMIFS('כל ההוצאות'!$D:$D,'כל ההוצאות'!$B:$B,"Google Workspace",'כל ההוצאות'!$F:$F,"דצמבר 2026")</f>
        <v/>
      </c>
      <c r="AK11" s="38">
        <f>SUMIFS('כל ההוצאות'!$E:$E,'כל ההוצאות'!$B:$B,"Google Workspace",'כל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Hedra</t>
        </is>
      </c>
      <c r="B12" s="42">
        <f>SUMIFS('כל ההוצאות'!$D:$D,'כל ההוצאות'!$B:$B,"Hedra",'כל ההוצאות'!$F:$F,"יולי 2025")</f>
        <v/>
      </c>
      <c r="C12" s="43">
        <f>SUMIFS('כל ההוצאות'!$E:$E,'כל ההוצאות'!$B:$B,"Hedra",'כל ההוצאות'!$F:$F,"יולי 2025")</f>
        <v/>
      </c>
      <c r="D12" s="42">
        <f>SUMIFS('כל ההוצאות'!$D:$D,'כל ההוצאות'!$B:$B,"Hedra",'כל ההוצאות'!$F:$F,"אוגוסט 2025")</f>
        <v/>
      </c>
      <c r="E12" s="43">
        <f>SUMIFS('כל ההוצאות'!$E:$E,'כל ההוצאות'!$B:$B,"Hedra",'כל ההוצאות'!$F:$F,"אוגוסט 2025")</f>
        <v/>
      </c>
      <c r="F12" s="42">
        <f>SUMIFS('כל ההוצאות'!$D:$D,'כל ההוצאות'!$B:$B,"Hedra",'כל ההוצאות'!$F:$F,"ספטמבר 2025")</f>
        <v/>
      </c>
      <c r="G12" s="43">
        <f>SUMIFS('כל ההוצאות'!$E:$E,'כל ההוצאות'!$B:$B,"Hedra",'כל ההוצאות'!$F:$F,"ספטמבר 2025")</f>
        <v/>
      </c>
      <c r="H12" s="42">
        <f>SUMIFS('כל ההוצאות'!$D:$D,'כל ההוצאות'!$B:$B,"Hedra",'כל ההוצאות'!$F:$F,"אוקטובר 2025")</f>
        <v/>
      </c>
      <c r="I12" s="43">
        <f>SUMIFS('כל ההוצאות'!$E:$E,'כל ההוצאות'!$B:$B,"Hedra",'כל ההוצאות'!$F:$F,"אוקטובר 2025")</f>
        <v/>
      </c>
      <c r="J12" s="42">
        <f>SUMIFS('כל ההוצאות'!$D:$D,'כל ההוצאות'!$B:$B,"Hedra",'כל ההוצאות'!$F:$F,"נובמבר 2025")</f>
        <v/>
      </c>
      <c r="K12" s="43">
        <f>SUMIFS('כל ההוצאות'!$E:$E,'כל ההוצאות'!$B:$B,"Hedra",'כל ההוצאות'!$F:$F,"נובמבר 2025")</f>
        <v/>
      </c>
      <c r="L12" s="42">
        <f>SUMIFS('כל ההוצאות'!$D:$D,'כל ההוצאות'!$B:$B,"Hedra",'כל ההוצאות'!$F:$F,"דצמבר 2025")</f>
        <v/>
      </c>
      <c r="M12" s="43">
        <f>SUMIFS('כל ההוצאות'!$E:$E,'כל ההוצאות'!$B:$B,"Hedra",'כל ההוצאות'!$F:$F,"דצמבר 2025")</f>
        <v/>
      </c>
      <c r="N12" s="42">
        <f>SUMIFS('כל ההוצאות'!$D:$D,'כל ההוצאות'!$B:$B,"Hedra",'כל ההוצאות'!$F:$F,"ינואר 2026")</f>
        <v/>
      </c>
      <c r="O12" s="43">
        <f>SUMIFS('כל ההוצאות'!$E:$E,'כל ההוצאות'!$B:$B,"Hedra",'כל ההוצאות'!$F:$F,"ינואר 2026")</f>
        <v/>
      </c>
      <c r="P12" s="42">
        <f>SUMIFS('כל ההוצאות'!$D:$D,'כל ההוצאות'!$B:$B,"Hedra",'כל ההוצאות'!$F:$F,"פברואר 2026")</f>
        <v/>
      </c>
      <c r="Q12" s="43">
        <f>SUMIFS('כל ההוצאות'!$E:$E,'כל ההוצאות'!$B:$B,"Hedra",'כל ההוצאות'!$F:$F,"פברואר 2026")</f>
        <v/>
      </c>
      <c r="R12" s="42">
        <f>SUMIFS('כל ההוצאות'!$D:$D,'כל ההוצאות'!$B:$B,"Hedra",'כל ההוצאות'!$F:$F,"מרץ 2026")</f>
        <v/>
      </c>
      <c r="S12" s="43">
        <f>SUMIFS('כל ההוצאות'!$E:$E,'כל ההוצאות'!$B:$B,"Hedra",'כל ההוצאות'!$F:$F,"מרץ 2026")</f>
        <v/>
      </c>
      <c r="T12" s="42">
        <f>SUMIFS('כל ההוצאות'!$D:$D,'כל ההוצאות'!$B:$B,"Hedra",'כל ההוצאות'!$F:$F,"אפריל 2026")</f>
        <v/>
      </c>
      <c r="U12" s="43">
        <f>SUMIFS('כל ההוצאות'!$E:$E,'כל ההוצאות'!$B:$B,"Hedra",'כל ההוצאות'!$F:$F,"אפריל 2026")</f>
        <v/>
      </c>
      <c r="V12" s="42">
        <f>SUMIFS('כל ההוצאות'!$D:$D,'כל ההוצאות'!$B:$B,"Hedra",'כל ההוצאות'!$F:$F,"מאי 2026")</f>
        <v/>
      </c>
      <c r="W12" s="43">
        <f>SUMIFS('כל ההוצאות'!$E:$E,'כל ההוצאות'!$B:$B,"Hedra",'כל ההוצאות'!$F:$F,"מאי 2026")</f>
        <v/>
      </c>
      <c r="X12" s="42">
        <f>SUMIFS('כל ההוצאות'!$D:$D,'כל ההוצאות'!$B:$B,"Hedra",'כל ההוצאות'!$F:$F,"יוני 2026")</f>
        <v/>
      </c>
      <c r="Y12" s="43">
        <f>SUMIFS('כל ההוצאות'!$E:$E,'כל ההוצאות'!$B:$B,"Hedra",'כל ההוצאות'!$F:$F,"יוני 2026")</f>
        <v/>
      </c>
      <c r="Z12" s="42">
        <f>SUMIFS('כל ההוצאות'!$D:$D,'כל ההוצאות'!$B:$B,"Hedra",'כל ההוצאות'!$F:$F,"יולי 2026")</f>
        <v/>
      </c>
      <c r="AA12" s="43">
        <f>SUMIFS('כל ההוצאות'!$E:$E,'כל ההוצאות'!$B:$B,"Hedra",'כל ההוצאות'!$F:$F,"יולי 2026")</f>
        <v/>
      </c>
      <c r="AB12" s="42">
        <f>SUMIFS('כל ההוצאות'!$D:$D,'כל ההוצאות'!$B:$B,"Hedra",'כל ההוצאות'!$F:$F,"אוגוסט 2026")</f>
        <v/>
      </c>
      <c r="AC12" s="43">
        <f>SUMIFS('כל ההוצאות'!$E:$E,'כל ההוצאות'!$B:$B,"Hedra",'כל ההוצאות'!$F:$F,"אוגוסט 2026")</f>
        <v/>
      </c>
      <c r="AD12" s="42">
        <f>SUMIFS('כל ההוצאות'!$D:$D,'כל ההוצאות'!$B:$B,"Hedra",'כל ההוצאות'!$F:$F,"ספטמבר 2026")</f>
        <v/>
      </c>
      <c r="AE12" s="43">
        <f>SUMIFS('כל ההוצאות'!$E:$E,'כל ההוצאות'!$B:$B,"Hedra",'כל ההוצאות'!$F:$F,"ספטמבר 2026")</f>
        <v/>
      </c>
      <c r="AF12" s="42">
        <f>SUMIFS('כל ההוצאות'!$D:$D,'כל ההוצאות'!$B:$B,"Hedra",'כל ההוצאות'!$F:$F,"אוקטובר 2026")</f>
        <v/>
      </c>
      <c r="AG12" s="43">
        <f>SUMIFS('כל ההוצאות'!$E:$E,'כל ההוצאות'!$B:$B,"Hedra",'כל ההוצאות'!$F:$F,"אוקטובר 2026")</f>
        <v/>
      </c>
      <c r="AH12" s="42">
        <f>SUMIFS('כל ההוצאות'!$D:$D,'כל ההוצאות'!$B:$B,"Hedra",'כל ההוצאות'!$F:$F,"נובמבר 2026")</f>
        <v/>
      </c>
      <c r="AI12" s="43">
        <f>SUMIFS('כל ההוצאות'!$E:$E,'כל ההוצאות'!$B:$B,"Hedra",'כל ההוצאות'!$F:$F,"נובמבר 2026")</f>
        <v/>
      </c>
      <c r="AJ12" s="42">
        <f>SUMIFS('כל ההוצאות'!$D:$D,'כל ההוצאות'!$B:$B,"Hedra",'כל ההוצאות'!$F:$F,"דצמבר 2026")</f>
        <v/>
      </c>
      <c r="AK12" s="43">
        <f>SUMIFS('כל ההוצאות'!$E:$E,'כל ההוצאות'!$B:$B,"Hedra",'כל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Higgsfield</t>
        </is>
      </c>
      <c r="B13" s="37">
        <f>SUMIFS('כל ההוצאות'!$D:$D,'כל ההוצאות'!$B:$B,"Higgsfield",'כל ההוצאות'!$F:$F,"יולי 2025")</f>
        <v/>
      </c>
      <c r="C13" s="38">
        <f>SUMIFS('כל ההוצאות'!$E:$E,'כל ההוצאות'!$B:$B,"Higgsfield",'כל ההוצאות'!$F:$F,"יולי 2025")</f>
        <v/>
      </c>
      <c r="D13" s="37">
        <f>SUMIFS('כל ההוצאות'!$D:$D,'כל ההוצאות'!$B:$B,"Higgsfield",'כל ההוצאות'!$F:$F,"אוגוסט 2025")</f>
        <v/>
      </c>
      <c r="E13" s="38">
        <f>SUMIFS('כל ההוצאות'!$E:$E,'כל ההוצאות'!$B:$B,"Higgsfield",'כל ההוצאות'!$F:$F,"אוגוסט 2025")</f>
        <v/>
      </c>
      <c r="F13" s="37">
        <f>SUMIFS('כל ההוצאות'!$D:$D,'כל ההוצאות'!$B:$B,"Higgsfield",'כל ההוצאות'!$F:$F,"ספטמבר 2025")</f>
        <v/>
      </c>
      <c r="G13" s="38">
        <f>SUMIFS('כל ההוצאות'!$E:$E,'כל ההוצאות'!$B:$B,"Higgsfield",'כל ההוצאות'!$F:$F,"ספטמבר 2025")</f>
        <v/>
      </c>
      <c r="H13" s="37">
        <f>SUMIFS('כל ההוצאות'!$D:$D,'כל ההוצאות'!$B:$B,"Higgsfield",'כל ההוצאות'!$F:$F,"אוקטובר 2025")</f>
        <v/>
      </c>
      <c r="I13" s="38">
        <f>SUMIFS('כל ההוצאות'!$E:$E,'כל ההוצאות'!$B:$B,"Higgsfield",'כל ההוצאות'!$F:$F,"אוקטובר 2025")</f>
        <v/>
      </c>
      <c r="J13" s="37">
        <f>SUMIFS('כל ההוצאות'!$D:$D,'כל ההוצאות'!$B:$B,"Higgsfield",'כל ההוצאות'!$F:$F,"נובמבר 2025")</f>
        <v/>
      </c>
      <c r="K13" s="38">
        <f>SUMIFS('כל ההוצאות'!$E:$E,'כל ההוצאות'!$B:$B,"Higgsfield",'כל ההוצאות'!$F:$F,"נובמבר 2025")</f>
        <v/>
      </c>
      <c r="L13" s="37">
        <f>SUMIFS('כל ההוצאות'!$D:$D,'כל ההוצאות'!$B:$B,"Higgsfield",'כל ההוצאות'!$F:$F,"דצמבר 2025")</f>
        <v/>
      </c>
      <c r="M13" s="38">
        <f>SUMIFS('כל ההוצאות'!$E:$E,'כל ההוצאות'!$B:$B,"Higgsfield",'כל ההוצאות'!$F:$F,"דצמבר 2025")</f>
        <v/>
      </c>
      <c r="N13" s="37">
        <f>SUMIFS('כל ההוצאות'!$D:$D,'כל ההוצאות'!$B:$B,"Higgsfield",'כל ההוצאות'!$F:$F,"ינואר 2026")</f>
        <v/>
      </c>
      <c r="O13" s="38">
        <f>SUMIFS('כל ההוצאות'!$E:$E,'כל ההוצאות'!$B:$B,"Higgsfield",'כל ההוצאות'!$F:$F,"ינואר 2026")</f>
        <v/>
      </c>
      <c r="P13" s="37">
        <f>SUMIFS('כל ההוצאות'!$D:$D,'כל ההוצאות'!$B:$B,"Higgsfield",'כל ההוצאות'!$F:$F,"פברואר 2026")</f>
        <v/>
      </c>
      <c r="Q13" s="38">
        <f>SUMIFS('כל ההוצאות'!$E:$E,'כל ההוצאות'!$B:$B,"Higgsfield",'כל ההוצאות'!$F:$F,"פברואר 2026")</f>
        <v/>
      </c>
      <c r="R13" s="37">
        <f>SUMIFS('כל ההוצאות'!$D:$D,'כל ההוצאות'!$B:$B,"Higgsfield",'כל ההוצאות'!$F:$F,"מרץ 2026")</f>
        <v/>
      </c>
      <c r="S13" s="38">
        <f>SUMIFS('כל ההוצאות'!$E:$E,'כל ההוצאות'!$B:$B,"Higgsfield",'כל ההוצאות'!$F:$F,"מרץ 2026")</f>
        <v/>
      </c>
      <c r="T13" s="37">
        <f>SUMIFS('כל ההוצאות'!$D:$D,'כל ההוצאות'!$B:$B,"Higgsfield",'כל ההוצאות'!$F:$F,"אפריל 2026")</f>
        <v/>
      </c>
      <c r="U13" s="38">
        <f>SUMIFS('כל ההוצאות'!$E:$E,'כל ההוצאות'!$B:$B,"Higgsfield",'כל ההוצאות'!$F:$F,"אפריל 2026")</f>
        <v/>
      </c>
      <c r="V13" s="37">
        <f>SUMIFS('כל ההוצאות'!$D:$D,'כל ההוצאות'!$B:$B,"Higgsfield",'כל ההוצאות'!$F:$F,"מאי 2026")</f>
        <v/>
      </c>
      <c r="W13" s="38">
        <f>SUMIFS('כל ההוצאות'!$E:$E,'כל ההוצאות'!$B:$B,"Higgsfield",'כל ההוצאות'!$F:$F,"מאי 2026")</f>
        <v/>
      </c>
      <c r="X13" s="37">
        <f>SUMIFS('כל ההוצאות'!$D:$D,'כל ההוצאות'!$B:$B,"Higgsfield",'כל ההוצאות'!$F:$F,"יוני 2026")</f>
        <v/>
      </c>
      <c r="Y13" s="38">
        <f>SUMIFS('כל ההוצאות'!$E:$E,'כל ההוצאות'!$B:$B,"Higgsfield",'כל ההוצאות'!$F:$F,"יוני 2026")</f>
        <v/>
      </c>
      <c r="Z13" s="37">
        <f>SUMIFS('כל ההוצאות'!$D:$D,'כל ההוצאות'!$B:$B,"Higgsfield",'כל ההוצאות'!$F:$F,"יולי 2026")</f>
        <v/>
      </c>
      <c r="AA13" s="38">
        <f>SUMIFS('כל ההוצאות'!$E:$E,'כל ההוצאות'!$B:$B,"Higgsfield",'כל ההוצאות'!$F:$F,"יולי 2026")</f>
        <v/>
      </c>
      <c r="AB13" s="37">
        <f>SUMIFS('כל ההוצאות'!$D:$D,'כל ההוצאות'!$B:$B,"Higgsfield",'כל ההוצאות'!$F:$F,"אוגוסט 2026")</f>
        <v/>
      </c>
      <c r="AC13" s="38">
        <f>SUMIFS('כל ההוצאות'!$E:$E,'כל ההוצאות'!$B:$B,"Higgsfield",'כל ההוצאות'!$F:$F,"אוגוסט 2026")</f>
        <v/>
      </c>
      <c r="AD13" s="37">
        <f>SUMIFS('כל ההוצאות'!$D:$D,'כל ההוצאות'!$B:$B,"Higgsfield",'כל ההוצאות'!$F:$F,"ספטמבר 2026")</f>
        <v/>
      </c>
      <c r="AE13" s="38">
        <f>SUMIFS('כל ההוצאות'!$E:$E,'כל ההוצאות'!$B:$B,"Higgsfield",'כל ההוצאות'!$F:$F,"ספטמבר 2026")</f>
        <v/>
      </c>
      <c r="AF13" s="37">
        <f>SUMIFS('כל ההוצאות'!$D:$D,'כל ההוצאות'!$B:$B,"Higgsfield",'כל ההוצאות'!$F:$F,"אוקטובר 2026")</f>
        <v/>
      </c>
      <c r="AG13" s="38">
        <f>SUMIFS('כל ההוצאות'!$E:$E,'כל ההוצאות'!$B:$B,"Higgsfield",'כל ההוצאות'!$F:$F,"אוקטובר 2026")</f>
        <v/>
      </c>
      <c r="AH13" s="37">
        <f>SUMIFS('כל ההוצאות'!$D:$D,'כל ההוצאות'!$B:$B,"Higgsfield",'כל ההוצאות'!$F:$F,"נובמבר 2026")</f>
        <v/>
      </c>
      <c r="AI13" s="38">
        <f>SUMIFS('כל ההוצאות'!$E:$E,'כל ההוצאות'!$B:$B,"Higgsfield",'כל ההוצאות'!$F:$F,"נובמבר 2026")</f>
        <v/>
      </c>
      <c r="AJ13" s="37">
        <f>SUMIFS('כל ההוצאות'!$D:$D,'כל ההוצאות'!$B:$B,"Higgsfield",'כל ההוצאות'!$F:$F,"דצמבר 2026")</f>
        <v/>
      </c>
      <c r="AK13" s="38">
        <f>SUMIFS('כל ההוצאות'!$E:$E,'כל ההוצאות'!$B:$B,"Higgsfield",'כל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IONOS</t>
        </is>
      </c>
      <c r="B14" s="42">
        <f>SUMIFS('כל ההוצאות'!$D:$D,'כל ההוצאות'!$B:$B,"IONOS",'כל ההוצאות'!$F:$F,"יולי 2025")</f>
        <v/>
      </c>
      <c r="C14" s="43">
        <f>SUMIFS('כל ההוצאות'!$E:$E,'כל ההוצאות'!$B:$B,"IONOS",'כל ההוצאות'!$F:$F,"יולי 2025")</f>
        <v/>
      </c>
      <c r="D14" s="42">
        <f>SUMIFS('כל ההוצאות'!$D:$D,'כל ההוצאות'!$B:$B,"IONOS",'כל ההוצאות'!$F:$F,"אוגוסט 2025")</f>
        <v/>
      </c>
      <c r="E14" s="43">
        <f>SUMIFS('כל ההוצאות'!$E:$E,'כל ההוצאות'!$B:$B,"IONOS",'כל ההוצאות'!$F:$F,"אוגוסט 2025")</f>
        <v/>
      </c>
      <c r="F14" s="42">
        <f>SUMIFS('כל ההוצאות'!$D:$D,'כל ההוצאות'!$B:$B,"IONOS",'כל ההוצאות'!$F:$F,"ספטמבר 2025")</f>
        <v/>
      </c>
      <c r="G14" s="43">
        <f>SUMIFS('כל ההוצאות'!$E:$E,'כל ההוצאות'!$B:$B,"IONOS",'כל ההוצאות'!$F:$F,"ספטמבר 2025")</f>
        <v/>
      </c>
      <c r="H14" s="42">
        <f>SUMIFS('כל ההוצאות'!$D:$D,'כל ההוצאות'!$B:$B,"IONOS",'כל ההוצאות'!$F:$F,"אוקטובר 2025")</f>
        <v/>
      </c>
      <c r="I14" s="43">
        <f>SUMIFS('כל ההוצאות'!$E:$E,'כל ההוצאות'!$B:$B,"IONOS",'כל ההוצאות'!$F:$F,"אוקטובר 2025")</f>
        <v/>
      </c>
      <c r="J14" s="42">
        <f>SUMIFS('כל ההוצאות'!$D:$D,'כל ההוצאות'!$B:$B,"IONOS",'כל ההוצאות'!$F:$F,"נובמבר 2025")</f>
        <v/>
      </c>
      <c r="K14" s="43">
        <f>SUMIFS('כל ההוצאות'!$E:$E,'כל ההוצאות'!$B:$B,"IONOS",'כל ההוצאות'!$F:$F,"נובמבר 2025")</f>
        <v/>
      </c>
      <c r="L14" s="42">
        <f>SUMIFS('כל ההוצאות'!$D:$D,'כל ההוצאות'!$B:$B,"IONOS",'כל ההוצאות'!$F:$F,"דצמבר 2025")</f>
        <v/>
      </c>
      <c r="M14" s="43">
        <f>SUMIFS('כל ההוצאות'!$E:$E,'כל ההוצאות'!$B:$B,"IONOS",'כל ההוצאות'!$F:$F,"דצמבר 2025")</f>
        <v/>
      </c>
      <c r="N14" s="42">
        <f>SUMIFS('כל ההוצאות'!$D:$D,'כל ההוצאות'!$B:$B,"IONOS",'כל ההוצאות'!$F:$F,"ינואר 2026")</f>
        <v/>
      </c>
      <c r="O14" s="43">
        <f>SUMIFS('כל ההוצאות'!$E:$E,'כל ההוצאות'!$B:$B,"IONOS",'כל ההוצאות'!$F:$F,"ינואר 2026")</f>
        <v/>
      </c>
      <c r="P14" s="42">
        <f>SUMIFS('כל ההוצאות'!$D:$D,'כל ההוצאות'!$B:$B,"IONOS",'כל ההוצאות'!$F:$F,"פברואר 2026")</f>
        <v/>
      </c>
      <c r="Q14" s="43">
        <f>SUMIFS('כל ההוצאות'!$E:$E,'כל ההוצאות'!$B:$B,"IONOS",'כל ההוצאות'!$F:$F,"פברואר 2026")</f>
        <v/>
      </c>
      <c r="R14" s="42">
        <f>SUMIFS('כל ההוצאות'!$D:$D,'כל ההוצאות'!$B:$B,"IONOS",'כל ההוצאות'!$F:$F,"מרץ 2026")</f>
        <v/>
      </c>
      <c r="S14" s="43">
        <f>SUMIFS('כל ההוצאות'!$E:$E,'כל ההוצאות'!$B:$B,"IONOS",'כל ההוצאות'!$F:$F,"מרץ 2026")</f>
        <v/>
      </c>
      <c r="T14" s="42">
        <f>SUMIFS('כל ההוצאות'!$D:$D,'כל ההוצאות'!$B:$B,"IONOS",'כל ההוצאות'!$F:$F,"אפריל 2026")</f>
        <v/>
      </c>
      <c r="U14" s="43">
        <f>SUMIFS('כל ההוצאות'!$E:$E,'כל ההוצאות'!$B:$B,"IONOS",'כל ההוצאות'!$F:$F,"אפריל 2026")</f>
        <v/>
      </c>
      <c r="V14" s="42">
        <f>SUMIFS('כל ההוצאות'!$D:$D,'כל ההוצאות'!$B:$B,"IONOS",'כל ההוצאות'!$F:$F,"מאי 2026")</f>
        <v/>
      </c>
      <c r="W14" s="43">
        <f>SUMIFS('כל ההוצאות'!$E:$E,'כל ההוצאות'!$B:$B,"IONOS",'כל ההוצאות'!$F:$F,"מאי 2026")</f>
        <v/>
      </c>
      <c r="X14" s="42">
        <f>SUMIFS('כל ההוצאות'!$D:$D,'כל ההוצאות'!$B:$B,"IONOS",'כל ההוצאות'!$F:$F,"יוני 2026")</f>
        <v/>
      </c>
      <c r="Y14" s="43">
        <f>SUMIFS('כל ההוצאות'!$E:$E,'כל ההוצאות'!$B:$B,"IONOS",'כל ההוצאות'!$F:$F,"יוני 2026")</f>
        <v/>
      </c>
      <c r="Z14" s="42">
        <f>SUMIFS('כל ההוצאות'!$D:$D,'כל ההוצאות'!$B:$B,"IONOS",'כל ההוצאות'!$F:$F,"יולי 2026")</f>
        <v/>
      </c>
      <c r="AA14" s="43">
        <f>SUMIFS('כל ההוצאות'!$E:$E,'כל ההוצאות'!$B:$B,"IONOS",'כל ההוצאות'!$F:$F,"יולי 2026")</f>
        <v/>
      </c>
      <c r="AB14" s="42">
        <f>SUMIFS('כל ההוצאות'!$D:$D,'כל ההוצאות'!$B:$B,"IONOS",'כל ההוצאות'!$F:$F,"אוגוסט 2026")</f>
        <v/>
      </c>
      <c r="AC14" s="43">
        <f>SUMIFS('כל ההוצאות'!$E:$E,'כל ההוצאות'!$B:$B,"IONOS",'כל ההוצאות'!$F:$F,"אוגוסט 2026")</f>
        <v/>
      </c>
      <c r="AD14" s="42">
        <f>SUMIFS('כל ההוצאות'!$D:$D,'כל ההוצאות'!$B:$B,"IONOS",'כל ההוצאות'!$F:$F,"ספטמבר 2026")</f>
        <v/>
      </c>
      <c r="AE14" s="43">
        <f>SUMIFS('כל ההוצאות'!$E:$E,'כל ההוצאות'!$B:$B,"IONOS",'כל ההוצאות'!$F:$F,"ספטמבר 2026")</f>
        <v/>
      </c>
      <c r="AF14" s="42">
        <f>SUMIFS('כל ההוצאות'!$D:$D,'כל ההוצאות'!$B:$B,"IONOS",'כל ההוצאות'!$F:$F,"אוקטובר 2026")</f>
        <v/>
      </c>
      <c r="AG14" s="43">
        <f>SUMIFS('כל ההוצאות'!$E:$E,'כל ההוצאות'!$B:$B,"IONOS",'כל ההוצאות'!$F:$F,"אוקטובר 2026")</f>
        <v/>
      </c>
      <c r="AH14" s="42">
        <f>SUMIFS('כל ההוצאות'!$D:$D,'כל ההוצאות'!$B:$B,"IONOS",'כל ההוצאות'!$F:$F,"נובמבר 2026")</f>
        <v/>
      </c>
      <c r="AI14" s="43">
        <f>SUMIFS('כל ההוצאות'!$E:$E,'כל ההוצאות'!$B:$B,"IONOS",'כל ההוצאות'!$F:$F,"נובמבר 2026")</f>
        <v/>
      </c>
      <c r="AJ14" s="42">
        <f>SUMIFS('כל ההוצאות'!$D:$D,'כל ההוצאות'!$B:$B,"IONOS",'כל ההוצאות'!$F:$F,"דצמבר 2026")</f>
        <v/>
      </c>
      <c r="AK14" s="43">
        <f>SUMIFS('כל ההוצאות'!$E:$E,'כל ההוצאות'!$B:$B,"IONOS",'כל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Ideogram AI</t>
        </is>
      </c>
      <c r="B15" s="37">
        <f>SUMIFS('כל ההוצאות'!$D:$D,'כל ההוצאות'!$B:$B,"Ideogram AI",'כל ההוצאות'!$F:$F,"יולי 2025")</f>
        <v/>
      </c>
      <c r="C15" s="38">
        <f>SUMIFS('כל ההוצאות'!$E:$E,'כל ההוצאות'!$B:$B,"Ideogram AI",'כל ההוצאות'!$F:$F,"יולי 2025")</f>
        <v/>
      </c>
      <c r="D15" s="37">
        <f>SUMIFS('כל ההוצאות'!$D:$D,'כל ההוצאות'!$B:$B,"Ideogram AI",'כל ההוצאות'!$F:$F,"אוגוסט 2025")</f>
        <v/>
      </c>
      <c r="E15" s="38">
        <f>SUMIFS('כל ההוצאות'!$E:$E,'כל ההוצאות'!$B:$B,"Ideogram AI",'כל ההוצאות'!$F:$F,"אוגוסט 2025")</f>
        <v/>
      </c>
      <c r="F15" s="37">
        <f>SUMIFS('כל ההוצאות'!$D:$D,'כל ההוצאות'!$B:$B,"Ideogram AI",'כל ההוצאות'!$F:$F,"ספטמבר 2025")</f>
        <v/>
      </c>
      <c r="G15" s="38">
        <f>SUMIFS('כל ההוצאות'!$E:$E,'כל ההוצאות'!$B:$B,"Ideogram AI",'כל ההוצאות'!$F:$F,"ספטמבר 2025")</f>
        <v/>
      </c>
      <c r="H15" s="37">
        <f>SUMIFS('כל ההוצאות'!$D:$D,'כל ההוצאות'!$B:$B,"Ideogram AI",'כל ההוצאות'!$F:$F,"אוקטובר 2025")</f>
        <v/>
      </c>
      <c r="I15" s="38">
        <f>SUMIFS('כל ההוצאות'!$E:$E,'כל ההוצאות'!$B:$B,"Ideogram AI",'כל ההוצאות'!$F:$F,"אוקטובר 2025")</f>
        <v/>
      </c>
      <c r="J15" s="37">
        <f>SUMIFS('כל ההוצאות'!$D:$D,'כל ההוצאות'!$B:$B,"Ideogram AI",'כל ההוצאות'!$F:$F,"נובמבר 2025")</f>
        <v/>
      </c>
      <c r="K15" s="38">
        <f>SUMIFS('כל ההוצאות'!$E:$E,'כל ההוצאות'!$B:$B,"Ideogram AI",'כל ההוצאות'!$F:$F,"נובמבר 2025")</f>
        <v/>
      </c>
      <c r="L15" s="37">
        <f>SUMIFS('כל ההוצאות'!$D:$D,'כל ההוצאות'!$B:$B,"Ideogram AI",'כל ההוצאות'!$F:$F,"דצמבר 2025")</f>
        <v/>
      </c>
      <c r="M15" s="38">
        <f>SUMIFS('כל ההוצאות'!$E:$E,'כל ההוצאות'!$B:$B,"Ideogram AI",'כל ההוצאות'!$F:$F,"דצמבר 2025")</f>
        <v/>
      </c>
      <c r="N15" s="37">
        <f>SUMIFS('כל ההוצאות'!$D:$D,'כל ההוצאות'!$B:$B,"Ideogram AI",'כל ההוצאות'!$F:$F,"ינואר 2026")</f>
        <v/>
      </c>
      <c r="O15" s="38">
        <f>SUMIFS('כל ההוצאות'!$E:$E,'כל ההוצאות'!$B:$B,"Ideogram AI",'כל ההוצאות'!$F:$F,"ינואר 2026")</f>
        <v/>
      </c>
      <c r="P15" s="37">
        <f>SUMIFS('כל ההוצאות'!$D:$D,'כל ההוצאות'!$B:$B,"Ideogram AI",'כל ההוצאות'!$F:$F,"פברואר 2026")</f>
        <v/>
      </c>
      <c r="Q15" s="38">
        <f>SUMIFS('כל ההוצאות'!$E:$E,'כל ההוצאות'!$B:$B,"Ideogram AI",'כל ההוצאות'!$F:$F,"פברואר 2026")</f>
        <v/>
      </c>
      <c r="R15" s="37">
        <f>SUMIFS('כל ההוצאות'!$D:$D,'כל ההוצאות'!$B:$B,"Ideogram AI",'כל ההוצאות'!$F:$F,"מרץ 2026")</f>
        <v/>
      </c>
      <c r="S15" s="38">
        <f>SUMIFS('כל ההוצאות'!$E:$E,'כל ההוצאות'!$B:$B,"Ideogram AI",'כל ההוצאות'!$F:$F,"מרץ 2026")</f>
        <v/>
      </c>
      <c r="T15" s="37">
        <f>SUMIFS('כל ההוצאות'!$D:$D,'כל ההוצאות'!$B:$B,"Ideogram AI",'כל ההוצאות'!$F:$F,"אפריל 2026")</f>
        <v/>
      </c>
      <c r="U15" s="38">
        <f>SUMIFS('כל ההוצאות'!$E:$E,'כל ההוצאות'!$B:$B,"Ideogram AI",'כל ההוצאות'!$F:$F,"אפריל 2026")</f>
        <v/>
      </c>
      <c r="V15" s="37">
        <f>SUMIFS('כל ההוצאות'!$D:$D,'כל ההוצאות'!$B:$B,"Ideogram AI",'כל ההוצאות'!$F:$F,"מאי 2026")</f>
        <v/>
      </c>
      <c r="W15" s="38">
        <f>SUMIFS('כל ההוצאות'!$E:$E,'כל ההוצאות'!$B:$B,"Ideogram AI",'כל ההוצאות'!$F:$F,"מאי 2026")</f>
        <v/>
      </c>
      <c r="X15" s="37">
        <f>SUMIFS('כל ההוצאות'!$D:$D,'כל ההוצאות'!$B:$B,"Ideogram AI",'כל ההוצאות'!$F:$F,"יוני 2026")</f>
        <v/>
      </c>
      <c r="Y15" s="38">
        <f>SUMIFS('כל ההוצאות'!$E:$E,'כל ההוצאות'!$B:$B,"Ideogram AI",'כל ההוצאות'!$F:$F,"יוני 2026")</f>
        <v/>
      </c>
      <c r="Z15" s="37">
        <f>SUMIFS('כל ההוצאות'!$D:$D,'כל ההוצאות'!$B:$B,"Ideogram AI",'כל ההוצאות'!$F:$F,"יולי 2026")</f>
        <v/>
      </c>
      <c r="AA15" s="38">
        <f>SUMIFS('כל ההוצאות'!$E:$E,'כל ההוצאות'!$B:$B,"Ideogram AI",'כל ההוצאות'!$F:$F,"יולי 2026")</f>
        <v/>
      </c>
      <c r="AB15" s="37">
        <f>SUMIFS('כל ההוצאות'!$D:$D,'כל ההוצאות'!$B:$B,"Ideogram AI",'כל ההוצאות'!$F:$F,"אוגוסט 2026")</f>
        <v/>
      </c>
      <c r="AC15" s="38">
        <f>SUMIFS('כל ההוצאות'!$E:$E,'כל ההוצאות'!$B:$B,"Ideogram AI",'כל ההוצאות'!$F:$F,"אוגוסט 2026")</f>
        <v/>
      </c>
      <c r="AD15" s="37">
        <f>SUMIFS('כל ההוצאות'!$D:$D,'כל ההוצאות'!$B:$B,"Ideogram AI",'כל ההוצאות'!$F:$F,"ספטמבר 2026")</f>
        <v/>
      </c>
      <c r="AE15" s="38">
        <f>SUMIFS('כל ההוצאות'!$E:$E,'כל ההוצאות'!$B:$B,"Ideogram AI",'כל ההוצאות'!$F:$F,"ספטמבר 2026")</f>
        <v/>
      </c>
      <c r="AF15" s="37">
        <f>SUMIFS('כל ההוצאות'!$D:$D,'כל ההוצאות'!$B:$B,"Ideogram AI",'כל ההוצאות'!$F:$F,"אוקטובר 2026")</f>
        <v/>
      </c>
      <c r="AG15" s="38">
        <f>SUMIFS('כל ההוצאות'!$E:$E,'כל ההוצאות'!$B:$B,"Ideogram AI",'כל ההוצאות'!$F:$F,"אוקטובר 2026")</f>
        <v/>
      </c>
      <c r="AH15" s="37">
        <f>SUMIFS('כל ההוצאות'!$D:$D,'כל ההוצאות'!$B:$B,"Ideogram AI",'כל ההוצאות'!$F:$F,"נובמבר 2026")</f>
        <v/>
      </c>
      <c r="AI15" s="38">
        <f>SUMIFS('כל ההוצאות'!$E:$E,'כל ההוצאות'!$B:$B,"Ideogram AI",'כל ההוצאות'!$F:$F,"נובמבר 2026")</f>
        <v/>
      </c>
      <c r="AJ15" s="37">
        <f>SUMIFS('כל ההוצאות'!$D:$D,'כל ההוצאות'!$B:$B,"Ideogram AI",'כל ההוצאות'!$F:$F,"דצמבר 2026")</f>
        <v/>
      </c>
      <c r="AK15" s="38">
        <f>SUMIFS('כל ההוצאות'!$E:$E,'כל ההוצאות'!$B:$B,"Ideogram AI",'כל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Lovable</t>
        </is>
      </c>
      <c r="B16" s="42">
        <f>SUMIFS('כל ההוצאות'!$D:$D,'כל ההוצאות'!$B:$B,"Lovable",'כל ההוצאות'!$F:$F,"יולי 2025")</f>
        <v/>
      </c>
      <c r="C16" s="43">
        <f>SUMIFS('כל ההוצאות'!$E:$E,'כל ההוצאות'!$B:$B,"Lovable",'כל ההוצאות'!$F:$F,"יולי 2025")</f>
        <v/>
      </c>
      <c r="D16" s="42">
        <f>SUMIFS('כל ההוצאות'!$D:$D,'כל ההוצאות'!$B:$B,"Lovable",'כל ההוצאות'!$F:$F,"אוגוסט 2025")</f>
        <v/>
      </c>
      <c r="E16" s="43">
        <f>SUMIFS('כל ההוצאות'!$E:$E,'כל ההוצאות'!$B:$B,"Lovable",'כל ההוצאות'!$F:$F,"אוגוסט 2025")</f>
        <v/>
      </c>
      <c r="F16" s="42">
        <f>SUMIFS('כל ההוצאות'!$D:$D,'כל ההוצאות'!$B:$B,"Lovable",'כל ההוצאות'!$F:$F,"ספטמבר 2025")</f>
        <v/>
      </c>
      <c r="G16" s="43">
        <f>SUMIFS('כל ההוצאות'!$E:$E,'כל ההוצאות'!$B:$B,"Lovable",'כל ההוצאות'!$F:$F,"ספטמבר 2025")</f>
        <v/>
      </c>
      <c r="H16" s="42">
        <f>SUMIFS('כל ההוצאות'!$D:$D,'כל ההוצאות'!$B:$B,"Lovable",'כל ההוצאות'!$F:$F,"אוקטובר 2025")</f>
        <v/>
      </c>
      <c r="I16" s="43">
        <f>SUMIFS('כל ההוצאות'!$E:$E,'כל ההוצאות'!$B:$B,"Lovable",'כל ההוצאות'!$F:$F,"אוקטובר 2025")</f>
        <v/>
      </c>
      <c r="J16" s="42">
        <f>SUMIFS('כל ההוצאות'!$D:$D,'כל ההוצאות'!$B:$B,"Lovable",'כל ההוצאות'!$F:$F,"נובמבר 2025")</f>
        <v/>
      </c>
      <c r="K16" s="43">
        <f>SUMIFS('כל ההוצאות'!$E:$E,'כל ההוצאות'!$B:$B,"Lovable",'כל ההוצאות'!$F:$F,"נובמבר 2025")</f>
        <v/>
      </c>
      <c r="L16" s="42">
        <f>SUMIFS('כל ההוצאות'!$D:$D,'כל ההוצאות'!$B:$B,"Lovable",'כל ההוצאות'!$F:$F,"דצמבר 2025")</f>
        <v/>
      </c>
      <c r="M16" s="43">
        <f>SUMIFS('כל ההוצאות'!$E:$E,'כל ההוצאות'!$B:$B,"Lovable",'כל ההוצאות'!$F:$F,"דצמבר 2025")</f>
        <v/>
      </c>
      <c r="N16" s="42">
        <f>SUMIFS('כל ההוצאות'!$D:$D,'כל ההוצאות'!$B:$B,"Lovable",'כל ההוצאות'!$F:$F,"ינואר 2026")</f>
        <v/>
      </c>
      <c r="O16" s="43">
        <f>SUMIFS('כל ההוצאות'!$E:$E,'כל ההוצאות'!$B:$B,"Lovable",'כל ההוצאות'!$F:$F,"ינואר 2026")</f>
        <v/>
      </c>
      <c r="P16" s="42">
        <f>SUMIFS('כל ההוצאות'!$D:$D,'כל ההוצאות'!$B:$B,"Lovable",'כל ההוצאות'!$F:$F,"פברואר 2026")</f>
        <v/>
      </c>
      <c r="Q16" s="43">
        <f>SUMIFS('כל ההוצאות'!$E:$E,'כל ההוצאות'!$B:$B,"Lovable",'כל ההוצאות'!$F:$F,"פברואר 2026")</f>
        <v/>
      </c>
      <c r="R16" s="42">
        <f>SUMIFS('כל ההוצאות'!$D:$D,'כל ההוצאות'!$B:$B,"Lovable",'כל ההוצאות'!$F:$F,"מרץ 2026")</f>
        <v/>
      </c>
      <c r="S16" s="43">
        <f>SUMIFS('כל ההוצאות'!$E:$E,'כל ההוצאות'!$B:$B,"Lovable",'כל ההוצאות'!$F:$F,"מרץ 2026")</f>
        <v/>
      </c>
      <c r="T16" s="42">
        <f>SUMIFS('כל ההוצאות'!$D:$D,'כל ההוצאות'!$B:$B,"Lovable",'כל ההוצאות'!$F:$F,"אפריל 2026")</f>
        <v/>
      </c>
      <c r="U16" s="43">
        <f>SUMIFS('כל ההוצאות'!$E:$E,'כל ההוצאות'!$B:$B,"Lovable",'כל ההוצאות'!$F:$F,"אפריל 2026")</f>
        <v/>
      </c>
      <c r="V16" s="42">
        <f>SUMIFS('כל ההוצאות'!$D:$D,'כל ההוצאות'!$B:$B,"Lovable",'כל ההוצאות'!$F:$F,"מאי 2026")</f>
        <v/>
      </c>
      <c r="W16" s="43">
        <f>SUMIFS('כל ההוצאות'!$E:$E,'כל ההוצאות'!$B:$B,"Lovable",'כל ההוצאות'!$F:$F,"מאי 2026")</f>
        <v/>
      </c>
      <c r="X16" s="42">
        <f>SUMIFS('כל ההוצאות'!$D:$D,'כל ההוצאות'!$B:$B,"Lovable",'כל ההוצאות'!$F:$F,"יוני 2026")</f>
        <v/>
      </c>
      <c r="Y16" s="43">
        <f>SUMIFS('כל ההוצאות'!$E:$E,'כל ההוצאות'!$B:$B,"Lovable",'כל ההוצאות'!$F:$F,"יוני 2026")</f>
        <v/>
      </c>
      <c r="Z16" s="42">
        <f>SUMIFS('כל ההוצאות'!$D:$D,'כל ההוצאות'!$B:$B,"Lovable",'כל ההוצאות'!$F:$F,"יולי 2026")</f>
        <v/>
      </c>
      <c r="AA16" s="43">
        <f>SUMIFS('כל ההוצאות'!$E:$E,'כל ההוצאות'!$B:$B,"Lovable",'כל ההוצאות'!$F:$F,"יולי 2026")</f>
        <v/>
      </c>
      <c r="AB16" s="42">
        <f>SUMIFS('כל ההוצאות'!$D:$D,'כל ההוצאות'!$B:$B,"Lovable",'כל ההוצאות'!$F:$F,"אוגוסט 2026")</f>
        <v/>
      </c>
      <c r="AC16" s="43">
        <f>SUMIFS('כל ההוצאות'!$E:$E,'כל ההוצאות'!$B:$B,"Lovable",'כל ההוצאות'!$F:$F,"אוגוסט 2026")</f>
        <v/>
      </c>
      <c r="AD16" s="42">
        <f>SUMIFS('כל ההוצאות'!$D:$D,'כל ההוצאות'!$B:$B,"Lovable",'כל ההוצאות'!$F:$F,"ספטמבר 2026")</f>
        <v/>
      </c>
      <c r="AE16" s="43">
        <f>SUMIFS('כל ההוצאות'!$E:$E,'כל ההוצאות'!$B:$B,"Lovable",'כל ההוצאות'!$F:$F,"ספטמבר 2026")</f>
        <v/>
      </c>
      <c r="AF16" s="42">
        <f>SUMIFS('כל ההוצאות'!$D:$D,'כל ההוצאות'!$B:$B,"Lovable",'כל ההוצאות'!$F:$F,"אוקטובר 2026")</f>
        <v/>
      </c>
      <c r="AG16" s="43">
        <f>SUMIFS('כל ההוצאות'!$E:$E,'כל ההוצאות'!$B:$B,"Lovable",'כל ההוצאות'!$F:$F,"אוקטובר 2026")</f>
        <v/>
      </c>
      <c r="AH16" s="42">
        <f>SUMIFS('כל ההוצאות'!$D:$D,'כל ההוצאות'!$B:$B,"Lovable",'כל ההוצאות'!$F:$F,"נובמבר 2026")</f>
        <v/>
      </c>
      <c r="AI16" s="43">
        <f>SUMIFS('כל ההוצאות'!$E:$E,'כל ההוצאות'!$B:$B,"Lovable",'כל ההוצאות'!$F:$F,"נובמבר 2026")</f>
        <v/>
      </c>
      <c r="AJ16" s="42">
        <f>SUMIFS('כל ההוצאות'!$D:$D,'כל ההוצאות'!$B:$B,"Lovable",'כל ההוצאות'!$F:$F,"דצמבר 2026")</f>
        <v/>
      </c>
      <c r="AK16" s="43">
        <f>SUMIFS('כל ההוצאות'!$E:$E,'כל ההוצאות'!$B:$B,"Lovable",'כל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Make</t>
        </is>
      </c>
      <c r="B17" s="37">
        <f>SUMIFS('כל ההוצאות'!$D:$D,'כל ההוצאות'!$B:$B,"Make",'כל ההוצאות'!$F:$F,"יולי 2025")</f>
        <v/>
      </c>
      <c r="C17" s="38">
        <f>SUMIFS('כל ההוצאות'!$E:$E,'כל ההוצאות'!$B:$B,"Make",'כל ההוצאות'!$F:$F,"יולי 2025")</f>
        <v/>
      </c>
      <c r="D17" s="37">
        <f>SUMIFS('כל ההוצאות'!$D:$D,'כל ההוצאות'!$B:$B,"Make",'כל ההוצאות'!$F:$F,"אוגוסט 2025")</f>
        <v/>
      </c>
      <c r="E17" s="38">
        <f>SUMIFS('כל ההוצאות'!$E:$E,'כל ההוצאות'!$B:$B,"Make",'כל ההוצאות'!$F:$F,"אוגוסט 2025")</f>
        <v/>
      </c>
      <c r="F17" s="37">
        <f>SUMIFS('כל ההוצאות'!$D:$D,'כל ההוצאות'!$B:$B,"Make",'כל ההוצאות'!$F:$F,"ספטמבר 2025")</f>
        <v/>
      </c>
      <c r="G17" s="38">
        <f>SUMIFS('כל ההוצאות'!$E:$E,'כל ההוצאות'!$B:$B,"Make",'כל ההוצאות'!$F:$F,"ספטמבר 2025")</f>
        <v/>
      </c>
      <c r="H17" s="37">
        <f>SUMIFS('כל ההוצאות'!$D:$D,'כל ההוצאות'!$B:$B,"Make",'כל ההוצאות'!$F:$F,"אוקטובר 2025")</f>
        <v/>
      </c>
      <c r="I17" s="38">
        <f>SUMIFS('כל ההוצאות'!$E:$E,'כל ההוצאות'!$B:$B,"Make",'כל ההוצאות'!$F:$F,"אוקטובר 2025")</f>
        <v/>
      </c>
      <c r="J17" s="37">
        <f>SUMIFS('כל ההוצאות'!$D:$D,'כל ההוצאות'!$B:$B,"Make",'כל ההוצאות'!$F:$F,"נובמבר 2025")</f>
        <v/>
      </c>
      <c r="K17" s="38">
        <f>SUMIFS('כל ההוצאות'!$E:$E,'כל ההוצאות'!$B:$B,"Make",'כל ההוצאות'!$F:$F,"נובמבר 2025")</f>
        <v/>
      </c>
      <c r="L17" s="37">
        <f>SUMIFS('כל ההוצאות'!$D:$D,'כל ההוצאות'!$B:$B,"Make",'כל ההוצאות'!$F:$F,"דצמבר 2025")</f>
        <v/>
      </c>
      <c r="M17" s="38">
        <f>SUMIFS('כל ההוצאות'!$E:$E,'כל ההוצאות'!$B:$B,"Make",'כל ההוצאות'!$F:$F,"דצמבר 2025")</f>
        <v/>
      </c>
      <c r="N17" s="37">
        <f>SUMIFS('כל ההוצאות'!$D:$D,'כל ההוצאות'!$B:$B,"Make",'כל ההוצאות'!$F:$F,"ינואר 2026")</f>
        <v/>
      </c>
      <c r="O17" s="38">
        <f>SUMIFS('כל ההוצאות'!$E:$E,'כל ההוצאות'!$B:$B,"Make",'כל ההוצאות'!$F:$F,"ינואר 2026")</f>
        <v/>
      </c>
      <c r="P17" s="37">
        <f>SUMIFS('כל ההוצאות'!$D:$D,'כל ההוצאות'!$B:$B,"Make",'כל ההוצאות'!$F:$F,"פברואר 2026")</f>
        <v/>
      </c>
      <c r="Q17" s="38">
        <f>SUMIFS('כל ההוצאות'!$E:$E,'כל ההוצאות'!$B:$B,"Make",'כל ההוצאות'!$F:$F,"פברואר 2026")</f>
        <v/>
      </c>
      <c r="R17" s="37">
        <f>SUMIFS('כל ההוצאות'!$D:$D,'כל ההוצאות'!$B:$B,"Make",'כל ההוצאות'!$F:$F,"מרץ 2026")</f>
        <v/>
      </c>
      <c r="S17" s="38">
        <f>SUMIFS('כל ההוצאות'!$E:$E,'כל ההוצאות'!$B:$B,"Make",'כל ההוצאות'!$F:$F,"מרץ 2026")</f>
        <v/>
      </c>
      <c r="T17" s="37">
        <f>SUMIFS('כל ההוצאות'!$D:$D,'כל ההוצאות'!$B:$B,"Make",'כל ההוצאות'!$F:$F,"אפריל 2026")</f>
        <v/>
      </c>
      <c r="U17" s="38">
        <f>SUMIFS('כל ההוצאות'!$E:$E,'כל ההוצאות'!$B:$B,"Make",'כל ההוצאות'!$F:$F,"אפריל 2026")</f>
        <v/>
      </c>
      <c r="V17" s="37">
        <f>SUMIFS('כל ההוצאות'!$D:$D,'כל ההוצאות'!$B:$B,"Make",'כל ההוצאות'!$F:$F,"מאי 2026")</f>
        <v/>
      </c>
      <c r="W17" s="38">
        <f>SUMIFS('כל ההוצאות'!$E:$E,'כל ההוצאות'!$B:$B,"Make",'כל ההוצאות'!$F:$F,"מאי 2026")</f>
        <v/>
      </c>
      <c r="X17" s="37">
        <f>SUMIFS('כל ההוצאות'!$D:$D,'כל ההוצאות'!$B:$B,"Make",'כל ההוצאות'!$F:$F,"יוני 2026")</f>
        <v/>
      </c>
      <c r="Y17" s="38">
        <f>SUMIFS('כל ההוצאות'!$E:$E,'כל ההוצאות'!$B:$B,"Make",'כל ההוצאות'!$F:$F,"יוני 2026")</f>
        <v/>
      </c>
      <c r="Z17" s="37">
        <f>SUMIFS('כל ההוצאות'!$D:$D,'כל ההוצאות'!$B:$B,"Make",'כל ההוצאות'!$F:$F,"יולי 2026")</f>
        <v/>
      </c>
      <c r="AA17" s="38">
        <f>SUMIFS('כל ההוצאות'!$E:$E,'כל ההוצאות'!$B:$B,"Make",'כל ההוצאות'!$F:$F,"יולי 2026")</f>
        <v/>
      </c>
      <c r="AB17" s="37">
        <f>SUMIFS('כל ההוצאות'!$D:$D,'כל ההוצאות'!$B:$B,"Make",'כל ההוצאות'!$F:$F,"אוגוסט 2026")</f>
        <v/>
      </c>
      <c r="AC17" s="38">
        <f>SUMIFS('כל ההוצאות'!$E:$E,'כל ההוצאות'!$B:$B,"Make",'כל ההוצאות'!$F:$F,"אוגוסט 2026")</f>
        <v/>
      </c>
      <c r="AD17" s="37">
        <f>SUMIFS('כל ההוצאות'!$D:$D,'כל ההוצאות'!$B:$B,"Make",'כל ההוצאות'!$F:$F,"ספטמבר 2026")</f>
        <v/>
      </c>
      <c r="AE17" s="38">
        <f>SUMIFS('כל ההוצאות'!$E:$E,'כל ההוצאות'!$B:$B,"Make",'כל ההוצאות'!$F:$F,"ספטמבר 2026")</f>
        <v/>
      </c>
      <c r="AF17" s="37">
        <f>SUMIFS('כל ההוצאות'!$D:$D,'כל ההוצאות'!$B:$B,"Make",'כל ההוצאות'!$F:$F,"אוקטובר 2026")</f>
        <v/>
      </c>
      <c r="AG17" s="38">
        <f>SUMIFS('כל ההוצאות'!$E:$E,'כל ההוצאות'!$B:$B,"Make",'כל ההוצאות'!$F:$F,"אוקטובר 2026")</f>
        <v/>
      </c>
      <c r="AH17" s="37">
        <f>SUMIFS('כל ההוצאות'!$D:$D,'כל ההוצאות'!$B:$B,"Make",'כל ההוצאות'!$F:$F,"נובמבר 2026")</f>
        <v/>
      </c>
      <c r="AI17" s="38">
        <f>SUMIFS('כל ההוצאות'!$E:$E,'כל ההוצאות'!$B:$B,"Make",'כל ההוצאות'!$F:$F,"נובמבר 2026")</f>
        <v/>
      </c>
      <c r="AJ17" s="37">
        <f>SUMIFS('כל ההוצאות'!$D:$D,'כל ההוצאות'!$B:$B,"Make",'כל ההוצאות'!$F:$F,"דצמבר 2026")</f>
        <v/>
      </c>
      <c r="AK17" s="38">
        <f>SUMIFS('כל ההוצאות'!$E:$E,'כל ההוצאות'!$B:$B,"Make",'כל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Manus AI</t>
        </is>
      </c>
      <c r="B18" s="42">
        <f>SUMIFS('כל ההוצאות'!$D:$D,'כל ההוצאות'!$B:$B,"Manus AI",'כל ההוצאות'!$F:$F,"יולי 2025")</f>
        <v/>
      </c>
      <c r="C18" s="43">
        <f>SUMIFS('כל ההוצאות'!$E:$E,'כל ההוצאות'!$B:$B,"Manus AI",'כל ההוצאות'!$F:$F,"יולי 2025")</f>
        <v/>
      </c>
      <c r="D18" s="42">
        <f>SUMIFS('כל ההוצאות'!$D:$D,'כל ההוצאות'!$B:$B,"Manus AI",'כל ההוצאות'!$F:$F,"אוגוסט 2025")</f>
        <v/>
      </c>
      <c r="E18" s="43">
        <f>SUMIFS('כל ההוצאות'!$E:$E,'כל ההוצאות'!$B:$B,"Manus AI",'כל ההוצאות'!$F:$F,"אוגוסט 2025")</f>
        <v/>
      </c>
      <c r="F18" s="42">
        <f>SUMIFS('כל ההוצאות'!$D:$D,'כל ההוצאות'!$B:$B,"Manus AI",'כל ההוצאות'!$F:$F,"ספטמבר 2025")</f>
        <v/>
      </c>
      <c r="G18" s="43">
        <f>SUMIFS('כל ההוצאות'!$E:$E,'כל ההוצאות'!$B:$B,"Manus AI",'כל ההוצאות'!$F:$F,"ספטמבר 2025")</f>
        <v/>
      </c>
      <c r="H18" s="42">
        <f>SUMIFS('כל ההוצאות'!$D:$D,'כל ההוצאות'!$B:$B,"Manus AI",'כל ההוצאות'!$F:$F,"אוקטובר 2025")</f>
        <v/>
      </c>
      <c r="I18" s="43">
        <f>SUMIFS('כל ההוצאות'!$E:$E,'כל ההוצאות'!$B:$B,"Manus AI",'כל ההוצאות'!$F:$F,"אוקטובר 2025")</f>
        <v/>
      </c>
      <c r="J18" s="42">
        <f>SUMIFS('כל ההוצאות'!$D:$D,'כל ההוצאות'!$B:$B,"Manus AI",'כל ההוצאות'!$F:$F,"נובמבר 2025")</f>
        <v/>
      </c>
      <c r="K18" s="43">
        <f>SUMIFS('כל ההוצאות'!$E:$E,'כל ההוצאות'!$B:$B,"Manus AI",'כל ההוצאות'!$F:$F,"נובמבר 2025")</f>
        <v/>
      </c>
      <c r="L18" s="42">
        <f>SUMIFS('כל ההוצאות'!$D:$D,'כל ההוצאות'!$B:$B,"Manus AI",'כל ההוצאות'!$F:$F,"דצמבר 2025")</f>
        <v/>
      </c>
      <c r="M18" s="43">
        <f>SUMIFS('כל ההוצאות'!$E:$E,'כל ההוצאות'!$B:$B,"Manus AI",'כל ההוצאות'!$F:$F,"דצמבר 2025")</f>
        <v/>
      </c>
      <c r="N18" s="42">
        <f>SUMIFS('כל ההוצאות'!$D:$D,'כל ההוצאות'!$B:$B,"Manus AI",'כל ההוצאות'!$F:$F,"ינואר 2026")</f>
        <v/>
      </c>
      <c r="O18" s="43">
        <f>SUMIFS('כל ההוצאות'!$E:$E,'כל ההוצאות'!$B:$B,"Manus AI",'כל ההוצאות'!$F:$F,"ינואר 2026")</f>
        <v/>
      </c>
      <c r="P18" s="42">
        <f>SUMIFS('כל ההוצאות'!$D:$D,'כל ההוצאות'!$B:$B,"Manus AI",'כל ההוצאות'!$F:$F,"פברואר 2026")</f>
        <v/>
      </c>
      <c r="Q18" s="43">
        <f>SUMIFS('כל ההוצאות'!$E:$E,'כל ההוצאות'!$B:$B,"Manus AI",'כל ההוצאות'!$F:$F,"פברואר 2026")</f>
        <v/>
      </c>
      <c r="R18" s="42">
        <f>SUMIFS('כל ההוצאות'!$D:$D,'כל ההוצאות'!$B:$B,"Manus AI",'כל ההוצאות'!$F:$F,"מרץ 2026")</f>
        <v/>
      </c>
      <c r="S18" s="43">
        <f>SUMIFS('כל ההוצאות'!$E:$E,'כל ההוצאות'!$B:$B,"Manus AI",'כל ההוצאות'!$F:$F,"מרץ 2026")</f>
        <v/>
      </c>
      <c r="T18" s="42">
        <f>SUMIFS('כל ההוצאות'!$D:$D,'כל ההוצאות'!$B:$B,"Manus AI",'כל ההוצאות'!$F:$F,"אפריל 2026")</f>
        <v/>
      </c>
      <c r="U18" s="43">
        <f>SUMIFS('כל ההוצאות'!$E:$E,'כל ההוצאות'!$B:$B,"Manus AI",'כל ההוצאות'!$F:$F,"אפריל 2026")</f>
        <v/>
      </c>
      <c r="V18" s="42">
        <f>SUMIFS('כל ההוצאות'!$D:$D,'כל ההוצאות'!$B:$B,"Manus AI",'כל ההוצאות'!$F:$F,"מאי 2026")</f>
        <v/>
      </c>
      <c r="W18" s="43">
        <f>SUMIFS('כל ההוצאות'!$E:$E,'כל ההוצאות'!$B:$B,"Manus AI",'כל ההוצאות'!$F:$F,"מאי 2026")</f>
        <v/>
      </c>
      <c r="X18" s="42">
        <f>SUMIFS('כל ההוצאות'!$D:$D,'כל ההוצאות'!$B:$B,"Manus AI",'כל ההוצאות'!$F:$F,"יוני 2026")</f>
        <v/>
      </c>
      <c r="Y18" s="43">
        <f>SUMIFS('כל ההוצאות'!$E:$E,'כל ההוצאות'!$B:$B,"Manus AI",'כל ההוצאות'!$F:$F,"יוני 2026")</f>
        <v/>
      </c>
      <c r="Z18" s="42">
        <f>SUMIFS('כל ההוצאות'!$D:$D,'כל ההוצאות'!$B:$B,"Manus AI",'כל ההוצאות'!$F:$F,"יולי 2026")</f>
        <v/>
      </c>
      <c r="AA18" s="43">
        <f>SUMIFS('כל ההוצאות'!$E:$E,'כל ההוצאות'!$B:$B,"Manus AI",'כל ההוצאות'!$F:$F,"יולי 2026")</f>
        <v/>
      </c>
      <c r="AB18" s="42">
        <f>SUMIFS('כל ההוצאות'!$D:$D,'כל ההוצאות'!$B:$B,"Manus AI",'כל ההוצאות'!$F:$F,"אוגוסט 2026")</f>
        <v/>
      </c>
      <c r="AC18" s="43">
        <f>SUMIFS('כל ההוצאות'!$E:$E,'כל ההוצאות'!$B:$B,"Manus AI",'כל ההוצאות'!$F:$F,"אוגוסט 2026")</f>
        <v/>
      </c>
      <c r="AD18" s="42">
        <f>SUMIFS('כל ההוצאות'!$D:$D,'כל ההוצאות'!$B:$B,"Manus AI",'כל ההוצאות'!$F:$F,"ספטמבר 2026")</f>
        <v/>
      </c>
      <c r="AE18" s="43">
        <f>SUMIFS('כל ההוצאות'!$E:$E,'כל ההוצאות'!$B:$B,"Manus AI",'כל ההוצאות'!$F:$F,"ספטמבר 2026")</f>
        <v/>
      </c>
      <c r="AF18" s="42">
        <f>SUMIFS('כל ההוצאות'!$D:$D,'כל ההוצאות'!$B:$B,"Manus AI",'כל ההוצאות'!$F:$F,"אוקטובר 2026")</f>
        <v/>
      </c>
      <c r="AG18" s="43">
        <f>SUMIFS('כל ההוצאות'!$E:$E,'כל ההוצאות'!$B:$B,"Manus AI",'כל ההוצאות'!$F:$F,"אוקטובר 2026")</f>
        <v/>
      </c>
      <c r="AH18" s="42">
        <f>SUMIFS('כל ההוצאות'!$D:$D,'כל ההוצאות'!$B:$B,"Manus AI",'כל ההוצאות'!$F:$F,"נובמבר 2026")</f>
        <v/>
      </c>
      <c r="AI18" s="43">
        <f>SUMIFS('כל ההוצאות'!$E:$E,'כל ההוצאות'!$B:$B,"Manus AI",'כל ההוצאות'!$F:$F,"נובמבר 2026")</f>
        <v/>
      </c>
      <c r="AJ18" s="42">
        <f>SUMIFS('כל ההוצאות'!$D:$D,'כל ההוצאות'!$B:$B,"Manus AI",'כל ההוצאות'!$F:$F,"דצמבר 2026")</f>
        <v/>
      </c>
      <c r="AK18" s="43">
        <f>SUMIFS('כל ההוצאות'!$E:$E,'כל ההוצאות'!$B:$B,"Manus AI",'כל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Manychat</t>
        </is>
      </c>
      <c r="B19" s="37">
        <f>SUMIFS('כל ההוצאות'!$D:$D,'כל ההוצאות'!$B:$B,"Manychat",'כל ההוצאות'!$F:$F,"יולי 2025")</f>
        <v/>
      </c>
      <c r="C19" s="38">
        <f>SUMIFS('כל ההוצאות'!$E:$E,'כל ההוצאות'!$B:$B,"Manychat",'כל ההוצאות'!$F:$F,"יולי 2025")</f>
        <v/>
      </c>
      <c r="D19" s="37">
        <f>SUMIFS('כל ההוצאות'!$D:$D,'כל ההוצאות'!$B:$B,"Manychat",'כל ההוצאות'!$F:$F,"אוגוסט 2025")</f>
        <v/>
      </c>
      <c r="E19" s="38">
        <f>SUMIFS('כל ההוצאות'!$E:$E,'כל ההוצאות'!$B:$B,"Manychat",'כל ההוצאות'!$F:$F,"אוגוסט 2025")</f>
        <v/>
      </c>
      <c r="F19" s="37">
        <f>SUMIFS('כל ההוצאות'!$D:$D,'כל ההוצאות'!$B:$B,"Manychat",'כל ההוצאות'!$F:$F,"ספטמבר 2025")</f>
        <v/>
      </c>
      <c r="G19" s="38">
        <f>SUMIFS('כל ההוצאות'!$E:$E,'כל ההוצאות'!$B:$B,"Manychat",'כל ההוצאות'!$F:$F,"ספטמבר 2025")</f>
        <v/>
      </c>
      <c r="H19" s="37">
        <f>SUMIFS('כל ההוצאות'!$D:$D,'כל ההוצאות'!$B:$B,"Manychat",'כל ההוצאות'!$F:$F,"אוקטובר 2025")</f>
        <v/>
      </c>
      <c r="I19" s="38">
        <f>SUMIFS('כל ההוצאות'!$E:$E,'כל ההוצאות'!$B:$B,"Manychat",'כל ההוצאות'!$F:$F,"אוקטובר 2025")</f>
        <v/>
      </c>
      <c r="J19" s="37">
        <f>SUMIFS('כל ההוצאות'!$D:$D,'כל ההוצאות'!$B:$B,"Manychat",'כל ההוצאות'!$F:$F,"נובמבר 2025")</f>
        <v/>
      </c>
      <c r="K19" s="38">
        <f>SUMIFS('כל ההוצאות'!$E:$E,'כל ההוצאות'!$B:$B,"Manychat",'כל ההוצאות'!$F:$F,"נובמבר 2025")</f>
        <v/>
      </c>
      <c r="L19" s="37">
        <f>SUMIFS('כל ההוצאות'!$D:$D,'כל ההוצאות'!$B:$B,"Manychat",'כל ההוצאות'!$F:$F,"דצמבר 2025")</f>
        <v/>
      </c>
      <c r="M19" s="38">
        <f>SUMIFS('כל ההוצאות'!$E:$E,'כל ההוצאות'!$B:$B,"Manychat",'כל ההוצאות'!$F:$F,"דצמבר 2025")</f>
        <v/>
      </c>
      <c r="N19" s="37">
        <f>SUMIFS('כל ההוצאות'!$D:$D,'כל ההוצאות'!$B:$B,"Manychat",'כל ההוצאות'!$F:$F,"ינואר 2026")</f>
        <v/>
      </c>
      <c r="O19" s="38">
        <f>SUMIFS('כל ההוצאות'!$E:$E,'כל ההוצאות'!$B:$B,"Manychat",'כל ההוצאות'!$F:$F,"ינואר 2026")</f>
        <v/>
      </c>
      <c r="P19" s="37">
        <f>SUMIFS('כל ההוצאות'!$D:$D,'כל ההוצאות'!$B:$B,"Manychat",'כל ההוצאות'!$F:$F,"פברואר 2026")</f>
        <v/>
      </c>
      <c r="Q19" s="38">
        <f>SUMIFS('כל ההוצאות'!$E:$E,'כל ההוצאות'!$B:$B,"Manychat",'כל ההוצאות'!$F:$F,"פברואר 2026")</f>
        <v/>
      </c>
      <c r="R19" s="37">
        <f>SUMIFS('כל ההוצאות'!$D:$D,'כל ההוצאות'!$B:$B,"Manychat",'כל ההוצאות'!$F:$F,"מרץ 2026")</f>
        <v/>
      </c>
      <c r="S19" s="38">
        <f>SUMIFS('כל ההוצאות'!$E:$E,'כל ההוצאות'!$B:$B,"Manychat",'כל ההוצאות'!$F:$F,"מרץ 2026")</f>
        <v/>
      </c>
      <c r="T19" s="37">
        <f>SUMIFS('כל ההוצאות'!$D:$D,'כל ההוצאות'!$B:$B,"Manychat",'כל ההוצאות'!$F:$F,"אפריל 2026")</f>
        <v/>
      </c>
      <c r="U19" s="38">
        <f>SUMIFS('כל ההוצאות'!$E:$E,'כל ההוצאות'!$B:$B,"Manychat",'כל ההוצאות'!$F:$F,"אפריל 2026")</f>
        <v/>
      </c>
      <c r="V19" s="37">
        <f>SUMIFS('כל ההוצאות'!$D:$D,'כל ההוצאות'!$B:$B,"Manychat",'כל ההוצאות'!$F:$F,"מאי 2026")</f>
        <v/>
      </c>
      <c r="W19" s="38">
        <f>SUMIFS('כל ההוצאות'!$E:$E,'כל ההוצאות'!$B:$B,"Manychat",'כל ההוצאות'!$F:$F,"מאי 2026")</f>
        <v/>
      </c>
      <c r="X19" s="37">
        <f>SUMIFS('כל ההוצאות'!$D:$D,'כל ההוצאות'!$B:$B,"Manychat",'כל ההוצאות'!$F:$F,"יוני 2026")</f>
        <v/>
      </c>
      <c r="Y19" s="38">
        <f>SUMIFS('כל ההוצאות'!$E:$E,'כל ההוצאות'!$B:$B,"Manychat",'כל ההוצאות'!$F:$F,"יוני 2026")</f>
        <v/>
      </c>
      <c r="Z19" s="37">
        <f>SUMIFS('כל ההוצאות'!$D:$D,'כל ההוצאות'!$B:$B,"Manychat",'כל ההוצאות'!$F:$F,"יולי 2026")</f>
        <v/>
      </c>
      <c r="AA19" s="38">
        <f>SUMIFS('כל ההוצאות'!$E:$E,'כל ההוצאות'!$B:$B,"Manychat",'כל ההוצאות'!$F:$F,"יולי 2026")</f>
        <v/>
      </c>
      <c r="AB19" s="37">
        <f>SUMIFS('כל ההוצאות'!$D:$D,'כל ההוצאות'!$B:$B,"Manychat",'כל ההוצאות'!$F:$F,"אוגוסט 2026")</f>
        <v/>
      </c>
      <c r="AC19" s="38">
        <f>SUMIFS('כל ההוצאות'!$E:$E,'כל ההוצאות'!$B:$B,"Manychat",'כל ההוצאות'!$F:$F,"אוגוסט 2026")</f>
        <v/>
      </c>
      <c r="AD19" s="37">
        <f>SUMIFS('כל ההוצאות'!$D:$D,'כל ההוצאות'!$B:$B,"Manychat",'כל ההוצאות'!$F:$F,"ספטמבר 2026")</f>
        <v/>
      </c>
      <c r="AE19" s="38">
        <f>SUMIFS('כל ההוצאות'!$E:$E,'כל ההוצאות'!$B:$B,"Manychat",'כל ההוצאות'!$F:$F,"ספטמבר 2026")</f>
        <v/>
      </c>
      <c r="AF19" s="37">
        <f>SUMIFS('כל ההוצאות'!$D:$D,'כל ההוצאות'!$B:$B,"Manychat",'כל ההוצאות'!$F:$F,"אוקטובר 2026")</f>
        <v/>
      </c>
      <c r="AG19" s="38">
        <f>SUMIFS('כל ההוצאות'!$E:$E,'כל ההוצאות'!$B:$B,"Manychat",'כל ההוצאות'!$F:$F,"אוקטובר 2026")</f>
        <v/>
      </c>
      <c r="AH19" s="37">
        <f>SUMIFS('כל ההוצאות'!$D:$D,'כל ההוצאות'!$B:$B,"Manychat",'כל ההוצאות'!$F:$F,"נובמבר 2026")</f>
        <v/>
      </c>
      <c r="AI19" s="38">
        <f>SUMIFS('כל ההוצאות'!$E:$E,'כל ההוצאות'!$B:$B,"Manychat",'כל ההוצאות'!$F:$F,"נובמבר 2026")</f>
        <v/>
      </c>
      <c r="AJ19" s="37">
        <f>SUMIFS('כל ההוצאות'!$D:$D,'כל ההוצאות'!$B:$B,"Manychat",'כל ההוצאות'!$F:$F,"דצמבר 2026")</f>
        <v/>
      </c>
      <c r="AK19" s="38">
        <f>SUMIFS('כל ההוצאות'!$E:$E,'כל ההוצאות'!$B:$B,"Manychat",'כל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Meta (Ads)</t>
        </is>
      </c>
      <c r="B20" s="42">
        <f>SUMIFS('כל ההוצאות'!$D:$D,'כל ההוצאות'!$B:$B,"Meta (Ads)",'כל ההוצאות'!$F:$F,"יולי 2025")</f>
        <v/>
      </c>
      <c r="C20" s="43">
        <f>SUMIFS('כל ההוצאות'!$E:$E,'כל ההוצאות'!$B:$B,"Meta (Ads)",'כל ההוצאות'!$F:$F,"יולי 2025")</f>
        <v/>
      </c>
      <c r="D20" s="42">
        <f>SUMIFS('כל ההוצאות'!$D:$D,'כל ההוצאות'!$B:$B,"Meta (Ads)",'כל ההוצאות'!$F:$F,"אוגוסט 2025")</f>
        <v/>
      </c>
      <c r="E20" s="43">
        <f>SUMIFS('כל ההוצאות'!$E:$E,'כל ההוצאות'!$B:$B,"Meta (Ads)",'כל ההוצאות'!$F:$F,"אוגוסט 2025")</f>
        <v/>
      </c>
      <c r="F20" s="42">
        <f>SUMIFS('כל ההוצאות'!$D:$D,'כל ההוצאות'!$B:$B,"Meta (Ads)",'כל ההוצאות'!$F:$F,"ספטמבר 2025")</f>
        <v/>
      </c>
      <c r="G20" s="43">
        <f>SUMIFS('כל ההוצאות'!$E:$E,'כל ההוצאות'!$B:$B,"Meta (Ads)",'כל ההוצאות'!$F:$F,"ספטמבר 2025")</f>
        <v/>
      </c>
      <c r="H20" s="42">
        <f>SUMIFS('כל ההוצאות'!$D:$D,'כל ההוצאות'!$B:$B,"Meta (Ads)",'כל ההוצאות'!$F:$F,"אוקטובר 2025")</f>
        <v/>
      </c>
      <c r="I20" s="43">
        <f>SUMIFS('כל ההוצאות'!$E:$E,'כל ההוצאות'!$B:$B,"Meta (Ads)",'כל ההוצאות'!$F:$F,"אוקטובר 2025")</f>
        <v/>
      </c>
      <c r="J20" s="42">
        <f>SUMIFS('כל ההוצאות'!$D:$D,'כל ההוצאות'!$B:$B,"Meta (Ads)",'כל ההוצאות'!$F:$F,"נובמבר 2025")</f>
        <v/>
      </c>
      <c r="K20" s="43">
        <f>SUMIFS('כל ההוצאות'!$E:$E,'כל ההוצאות'!$B:$B,"Meta (Ads)",'כל ההוצאות'!$F:$F,"נובמבר 2025")</f>
        <v/>
      </c>
      <c r="L20" s="42">
        <f>SUMIFS('כל ההוצאות'!$D:$D,'כל ההוצאות'!$B:$B,"Meta (Ads)",'כל ההוצאות'!$F:$F,"דצמבר 2025")</f>
        <v/>
      </c>
      <c r="M20" s="43">
        <f>SUMIFS('כל ההוצאות'!$E:$E,'כל ההוצאות'!$B:$B,"Meta (Ads)",'כל ההוצאות'!$F:$F,"דצמבר 2025")</f>
        <v/>
      </c>
      <c r="N20" s="42">
        <f>SUMIFS('כל ההוצאות'!$D:$D,'כל ההוצאות'!$B:$B,"Meta (Ads)",'כל ההוצאות'!$F:$F,"ינואר 2026")</f>
        <v/>
      </c>
      <c r="O20" s="43">
        <f>SUMIFS('כל ההוצאות'!$E:$E,'כל ההוצאות'!$B:$B,"Meta (Ads)",'כל ההוצאות'!$F:$F,"ינואר 2026")</f>
        <v/>
      </c>
      <c r="P20" s="42">
        <f>SUMIFS('כל ההוצאות'!$D:$D,'כל ההוצאות'!$B:$B,"Meta (Ads)",'כל ההוצאות'!$F:$F,"פברואר 2026")</f>
        <v/>
      </c>
      <c r="Q20" s="43">
        <f>SUMIFS('כל ההוצאות'!$E:$E,'כל ההוצאות'!$B:$B,"Meta (Ads)",'כל ההוצאות'!$F:$F,"פברואר 2026")</f>
        <v/>
      </c>
      <c r="R20" s="42">
        <f>SUMIFS('כל ההוצאות'!$D:$D,'כל ההוצאות'!$B:$B,"Meta (Ads)",'כל ההוצאות'!$F:$F,"מרץ 2026")</f>
        <v/>
      </c>
      <c r="S20" s="43">
        <f>SUMIFS('כל ההוצאות'!$E:$E,'כל ההוצאות'!$B:$B,"Meta (Ads)",'כל ההוצאות'!$F:$F,"מרץ 2026")</f>
        <v/>
      </c>
      <c r="T20" s="42">
        <f>SUMIFS('כל ההוצאות'!$D:$D,'כל ההוצאות'!$B:$B,"Meta (Ads)",'כל ההוצאות'!$F:$F,"אפריל 2026")</f>
        <v/>
      </c>
      <c r="U20" s="43">
        <f>SUMIFS('כל ההוצאות'!$E:$E,'כל ההוצאות'!$B:$B,"Meta (Ads)",'כל ההוצאות'!$F:$F,"אפריל 2026")</f>
        <v/>
      </c>
      <c r="V20" s="42">
        <f>SUMIFS('כל ההוצאות'!$D:$D,'כל ההוצאות'!$B:$B,"Meta (Ads)",'כל ההוצאות'!$F:$F,"מאי 2026")</f>
        <v/>
      </c>
      <c r="W20" s="43">
        <f>SUMIFS('כל ההוצאות'!$E:$E,'כל ההוצאות'!$B:$B,"Meta (Ads)",'כל ההוצאות'!$F:$F,"מאי 2026")</f>
        <v/>
      </c>
      <c r="X20" s="42">
        <f>SUMIFS('כל ההוצאות'!$D:$D,'כל ההוצאות'!$B:$B,"Meta (Ads)",'כל ההוצאות'!$F:$F,"יוני 2026")</f>
        <v/>
      </c>
      <c r="Y20" s="43">
        <f>SUMIFS('כל ההוצאות'!$E:$E,'כל ההוצאות'!$B:$B,"Meta (Ads)",'כל ההוצאות'!$F:$F,"יוני 2026")</f>
        <v/>
      </c>
      <c r="Z20" s="42">
        <f>SUMIFS('כל ההוצאות'!$D:$D,'כל ההוצאות'!$B:$B,"Meta (Ads)",'כל ההוצאות'!$F:$F,"יולי 2026")</f>
        <v/>
      </c>
      <c r="AA20" s="43">
        <f>SUMIFS('כל ההוצאות'!$E:$E,'כל ההוצאות'!$B:$B,"Meta (Ads)",'כל ההוצאות'!$F:$F,"יולי 2026")</f>
        <v/>
      </c>
      <c r="AB20" s="42">
        <f>SUMIFS('כל ההוצאות'!$D:$D,'כל ההוצאות'!$B:$B,"Meta (Ads)",'כל ההוצאות'!$F:$F,"אוגוסט 2026")</f>
        <v/>
      </c>
      <c r="AC20" s="43">
        <f>SUMIFS('כל ההוצאות'!$E:$E,'כל ההוצאות'!$B:$B,"Meta (Ads)",'כל ההוצאות'!$F:$F,"אוגוסט 2026")</f>
        <v/>
      </c>
      <c r="AD20" s="42">
        <f>SUMIFS('כל ההוצאות'!$D:$D,'כל ההוצאות'!$B:$B,"Meta (Ads)",'כל ההוצאות'!$F:$F,"ספטמבר 2026")</f>
        <v/>
      </c>
      <c r="AE20" s="43">
        <f>SUMIFS('כל ההוצאות'!$E:$E,'כל ההוצאות'!$B:$B,"Meta (Ads)",'כל ההוצאות'!$F:$F,"ספטמבר 2026")</f>
        <v/>
      </c>
      <c r="AF20" s="42">
        <f>SUMIFS('כל ההוצאות'!$D:$D,'כל ההוצאות'!$B:$B,"Meta (Ads)",'כל ההוצאות'!$F:$F,"אוקטובר 2026")</f>
        <v/>
      </c>
      <c r="AG20" s="43">
        <f>SUMIFS('כל ההוצאות'!$E:$E,'כל ההוצאות'!$B:$B,"Meta (Ads)",'כל ההוצאות'!$F:$F,"אוקטובר 2026")</f>
        <v/>
      </c>
      <c r="AH20" s="42">
        <f>SUMIFS('כל ההוצאות'!$D:$D,'כל ההוצאות'!$B:$B,"Meta (Ads)",'כל ההוצאות'!$F:$F,"נובמבר 2026")</f>
        <v/>
      </c>
      <c r="AI20" s="43">
        <f>SUMIFS('כל ההוצאות'!$E:$E,'כל ההוצאות'!$B:$B,"Meta (Ads)",'כל ההוצאות'!$F:$F,"נובמבר 2026")</f>
        <v/>
      </c>
      <c r="AJ20" s="42">
        <f>SUMIFS('כל ההוצאות'!$D:$D,'כל ההוצאות'!$B:$B,"Meta (Ads)",'כל ההוצאות'!$F:$F,"דצמבר 2026")</f>
        <v/>
      </c>
      <c r="AK20" s="43">
        <f>SUMIFS('כל ההוצאות'!$E:$E,'כל ההוצאות'!$B:$B,"Meta (Ads)",'כל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OpenAI</t>
        </is>
      </c>
      <c r="B21" s="37">
        <f>SUMIFS('כל ההוצאות'!$D:$D,'כל ההוצאות'!$B:$B,"OpenAI",'כל ההוצאות'!$F:$F,"יולי 2025")</f>
        <v/>
      </c>
      <c r="C21" s="38">
        <f>SUMIFS('כל ההוצאות'!$E:$E,'כל ההוצאות'!$B:$B,"OpenAI",'כל ההוצאות'!$F:$F,"יולי 2025")</f>
        <v/>
      </c>
      <c r="D21" s="37">
        <f>SUMIFS('כל ההוצאות'!$D:$D,'כל ההוצאות'!$B:$B,"OpenAI",'כל ההוצאות'!$F:$F,"אוגוסט 2025")</f>
        <v/>
      </c>
      <c r="E21" s="38">
        <f>SUMIFS('כל ההוצאות'!$E:$E,'כל ההוצאות'!$B:$B,"OpenAI",'כל ההוצאות'!$F:$F,"אוגוסט 2025")</f>
        <v/>
      </c>
      <c r="F21" s="37">
        <f>SUMIFS('כל ההוצאות'!$D:$D,'כל ההוצאות'!$B:$B,"OpenAI",'כל ההוצאות'!$F:$F,"ספטמבר 2025")</f>
        <v/>
      </c>
      <c r="G21" s="38">
        <f>SUMIFS('כל ההוצאות'!$E:$E,'כל ההוצאות'!$B:$B,"OpenAI",'כל ההוצאות'!$F:$F,"ספטמבר 2025")</f>
        <v/>
      </c>
      <c r="H21" s="37">
        <f>SUMIFS('כל ההוצאות'!$D:$D,'כל ההוצאות'!$B:$B,"OpenAI",'כל ההוצאות'!$F:$F,"אוקטובר 2025")</f>
        <v/>
      </c>
      <c r="I21" s="38">
        <f>SUMIFS('כל ההוצאות'!$E:$E,'כל ההוצאות'!$B:$B,"OpenAI",'כל ההוצאות'!$F:$F,"אוקטובר 2025")</f>
        <v/>
      </c>
      <c r="J21" s="37">
        <f>SUMIFS('כל ההוצאות'!$D:$D,'כל ההוצאות'!$B:$B,"OpenAI",'כל ההוצאות'!$F:$F,"נובמבר 2025")</f>
        <v/>
      </c>
      <c r="K21" s="38">
        <f>SUMIFS('כל ההוצאות'!$E:$E,'כל ההוצאות'!$B:$B,"OpenAI",'כל ההוצאות'!$F:$F,"נובמבר 2025")</f>
        <v/>
      </c>
      <c r="L21" s="37">
        <f>SUMIFS('כל ההוצאות'!$D:$D,'כל ההוצאות'!$B:$B,"OpenAI",'כל ההוצאות'!$F:$F,"דצמבר 2025")</f>
        <v/>
      </c>
      <c r="M21" s="38">
        <f>SUMIFS('כל ההוצאות'!$E:$E,'כל ההוצאות'!$B:$B,"OpenAI",'כל ההוצאות'!$F:$F,"דצמבר 2025")</f>
        <v/>
      </c>
      <c r="N21" s="37">
        <f>SUMIFS('כל ההוצאות'!$D:$D,'כל ההוצאות'!$B:$B,"OpenAI",'כל ההוצאות'!$F:$F,"ינואר 2026")</f>
        <v/>
      </c>
      <c r="O21" s="38">
        <f>SUMIFS('כל ההוצאות'!$E:$E,'כל ההוצאות'!$B:$B,"OpenAI",'כל ההוצאות'!$F:$F,"ינואר 2026")</f>
        <v/>
      </c>
      <c r="P21" s="37">
        <f>SUMIFS('כל ההוצאות'!$D:$D,'כל ההוצאות'!$B:$B,"OpenAI",'כל ההוצאות'!$F:$F,"פברואר 2026")</f>
        <v/>
      </c>
      <c r="Q21" s="38">
        <f>SUMIFS('כל ההוצאות'!$E:$E,'כל ההוצאות'!$B:$B,"OpenAI",'כל ההוצאות'!$F:$F,"פברואר 2026")</f>
        <v/>
      </c>
      <c r="R21" s="37">
        <f>SUMIFS('כל ההוצאות'!$D:$D,'כל ההוצאות'!$B:$B,"OpenAI",'כל ההוצאות'!$F:$F,"מרץ 2026")</f>
        <v/>
      </c>
      <c r="S21" s="38">
        <f>SUMIFS('כל ההוצאות'!$E:$E,'כל ההוצאות'!$B:$B,"OpenAI",'כל ההוצאות'!$F:$F,"מרץ 2026")</f>
        <v/>
      </c>
      <c r="T21" s="37">
        <f>SUMIFS('כל ההוצאות'!$D:$D,'כל ההוצאות'!$B:$B,"OpenAI",'כל ההוצאות'!$F:$F,"אפריל 2026")</f>
        <v/>
      </c>
      <c r="U21" s="38">
        <f>SUMIFS('כל ההוצאות'!$E:$E,'כל ההוצאות'!$B:$B,"OpenAI",'כל ההוצאות'!$F:$F,"אפריל 2026")</f>
        <v/>
      </c>
      <c r="V21" s="37">
        <f>SUMIFS('כל ההוצאות'!$D:$D,'כל ההוצאות'!$B:$B,"OpenAI",'כל ההוצאות'!$F:$F,"מאי 2026")</f>
        <v/>
      </c>
      <c r="W21" s="38">
        <f>SUMIFS('כל ההוצאות'!$E:$E,'כל ההוצאות'!$B:$B,"OpenAI",'כל ההוצאות'!$F:$F,"מאי 2026")</f>
        <v/>
      </c>
      <c r="X21" s="37">
        <f>SUMIFS('כל ההוצאות'!$D:$D,'כל ההוצאות'!$B:$B,"OpenAI",'כל ההוצאות'!$F:$F,"יוני 2026")</f>
        <v/>
      </c>
      <c r="Y21" s="38">
        <f>SUMIFS('כל ההוצאות'!$E:$E,'כל ההוצאות'!$B:$B,"OpenAI",'כל ההוצאות'!$F:$F,"יוני 2026")</f>
        <v/>
      </c>
      <c r="Z21" s="37">
        <f>SUMIFS('כל ההוצאות'!$D:$D,'כל ההוצאות'!$B:$B,"OpenAI",'כל ההוצאות'!$F:$F,"יולי 2026")</f>
        <v/>
      </c>
      <c r="AA21" s="38">
        <f>SUMIFS('כל ההוצאות'!$E:$E,'כל ההוצאות'!$B:$B,"OpenAI",'כל ההוצאות'!$F:$F,"יולי 2026")</f>
        <v/>
      </c>
      <c r="AB21" s="37">
        <f>SUMIFS('כל ההוצאות'!$D:$D,'כל ההוצאות'!$B:$B,"OpenAI",'כל ההוצאות'!$F:$F,"אוגוסט 2026")</f>
        <v/>
      </c>
      <c r="AC21" s="38">
        <f>SUMIFS('כל ההוצאות'!$E:$E,'כל ההוצאות'!$B:$B,"OpenAI",'כל ההוצאות'!$F:$F,"אוגוסט 2026")</f>
        <v/>
      </c>
      <c r="AD21" s="37">
        <f>SUMIFS('כל ההוצאות'!$D:$D,'כל ההוצאות'!$B:$B,"OpenAI",'כל ההוצאות'!$F:$F,"ספטמבר 2026")</f>
        <v/>
      </c>
      <c r="AE21" s="38">
        <f>SUMIFS('כל ההוצאות'!$E:$E,'כל ההוצאות'!$B:$B,"OpenAI",'כל ההוצאות'!$F:$F,"ספטמבר 2026")</f>
        <v/>
      </c>
      <c r="AF21" s="37">
        <f>SUMIFS('כל ההוצאות'!$D:$D,'כל ההוצאות'!$B:$B,"OpenAI",'כל ההוצאות'!$F:$F,"אוקטובר 2026")</f>
        <v/>
      </c>
      <c r="AG21" s="38">
        <f>SUMIFS('כל ההוצאות'!$E:$E,'כל ההוצאות'!$B:$B,"OpenAI",'כל ההוצאות'!$F:$F,"אוקטובר 2026")</f>
        <v/>
      </c>
      <c r="AH21" s="37">
        <f>SUMIFS('כל ההוצאות'!$D:$D,'כל ההוצאות'!$B:$B,"OpenAI",'כל ההוצאות'!$F:$F,"נובמבר 2026")</f>
        <v/>
      </c>
      <c r="AI21" s="38">
        <f>SUMIFS('כל ההוצאות'!$E:$E,'כל ההוצאות'!$B:$B,"OpenAI",'כל ההוצאות'!$F:$F,"נובמבר 2026")</f>
        <v/>
      </c>
      <c r="AJ21" s="37">
        <f>SUMIFS('כל ההוצאות'!$D:$D,'כל ההוצאות'!$B:$B,"OpenAI",'כל ההוצאות'!$F:$F,"דצמבר 2026")</f>
        <v/>
      </c>
      <c r="AK21" s="38">
        <f>SUMIFS('כל ההוצאות'!$E:$E,'כל ההוצאות'!$B:$B,"OpenAI",'כל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Recraft</t>
        </is>
      </c>
      <c r="B22" s="42">
        <f>SUMIFS('כל ההוצאות'!$D:$D,'כל ההוצאות'!$B:$B,"Recraft",'כל ההוצאות'!$F:$F,"יולי 2025")</f>
        <v/>
      </c>
      <c r="C22" s="43">
        <f>SUMIFS('כל ההוצאות'!$E:$E,'כל ההוצאות'!$B:$B,"Recraft",'כל ההוצאות'!$F:$F,"יולי 2025")</f>
        <v/>
      </c>
      <c r="D22" s="42">
        <f>SUMIFS('כל ההוצאות'!$D:$D,'כל ההוצאות'!$B:$B,"Recraft",'כל ההוצאות'!$F:$F,"אוגוסט 2025")</f>
        <v/>
      </c>
      <c r="E22" s="43">
        <f>SUMIFS('כל ההוצאות'!$E:$E,'כל ההוצאות'!$B:$B,"Recraft",'כל ההוצאות'!$F:$F,"אוגוסט 2025")</f>
        <v/>
      </c>
      <c r="F22" s="42">
        <f>SUMIFS('כל ההוצאות'!$D:$D,'כל ההוצאות'!$B:$B,"Recraft",'כל ההוצאות'!$F:$F,"ספטמבר 2025")</f>
        <v/>
      </c>
      <c r="G22" s="43">
        <f>SUMIFS('כל ההוצאות'!$E:$E,'כל ההוצאות'!$B:$B,"Recraft",'כל ההוצאות'!$F:$F,"ספטמבר 2025")</f>
        <v/>
      </c>
      <c r="H22" s="42">
        <f>SUMIFS('כל ההוצאות'!$D:$D,'כל ההוצאות'!$B:$B,"Recraft",'כל ההוצאות'!$F:$F,"אוקטובר 2025")</f>
        <v/>
      </c>
      <c r="I22" s="43">
        <f>SUMIFS('כל ההוצאות'!$E:$E,'כל ההוצאות'!$B:$B,"Recraft",'כל ההוצאות'!$F:$F,"אוקטובר 2025")</f>
        <v/>
      </c>
      <c r="J22" s="42">
        <f>SUMIFS('כל ההוצאות'!$D:$D,'כל ההוצאות'!$B:$B,"Recraft",'כל ההוצאות'!$F:$F,"נובמבר 2025")</f>
        <v/>
      </c>
      <c r="K22" s="43">
        <f>SUMIFS('כל ההוצאות'!$E:$E,'כל ההוצאות'!$B:$B,"Recraft",'כל ההוצאות'!$F:$F,"נובמבר 2025")</f>
        <v/>
      </c>
      <c r="L22" s="42">
        <f>SUMIFS('כל ההוצאות'!$D:$D,'כל ההוצאות'!$B:$B,"Recraft",'כל ההוצאות'!$F:$F,"דצמבר 2025")</f>
        <v/>
      </c>
      <c r="M22" s="43">
        <f>SUMIFS('כל ההוצאות'!$E:$E,'כל ההוצאות'!$B:$B,"Recraft",'כל ההוצאות'!$F:$F,"דצמבר 2025")</f>
        <v/>
      </c>
      <c r="N22" s="42">
        <f>SUMIFS('כל ההוצאות'!$D:$D,'כל ההוצאות'!$B:$B,"Recraft",'כל ההוצאות'!$F:$F,"ינואר 2026")</f>
        <v/>
      </c>
      <c r="O22" s="43">
        <f>SUMIFS('כל ההוצאות'!$E:$E,'כל ההוצאות'!$B:$B,"Recraft",'כל ההוצאות'!$F:$F,"ינואר 2026")</f>
        <v/>
      </c>
      <c r="P22" s="42">
        <f>SUMIFS('כל ההוצאות'!$D:$D,'כל ההוצאות'!$B:$B,"Recraft",'כל ההוצאות'!$F:$F,"פברואר 2026")</f>
        <v/>
      </c>
      <c r="Q22" s="43">
        <f>SUMIFS('כל ההוצאות'!$E:$E,'כל ההוצאות'!$B:$B,"Recraft",'כל ההוצאות'!$F:$F,"פברואר 2026")</f>
        <v/>
      </c>
      <c r="R22" s="42">
        <f>SUMIFS('כל ההוצאות'!$D:$D,'כל ההוצאות'!$B:$B,"Recraft",'כל ההוצאות'!$F:$F,"מרץ 2026")</f>
        <v/>
      </c>
      <c r="S22" s="43">
        <f>SUMIFS('כל ההוצאות'!$E:$E,'כל ההוצאות'!$B:$B,"Recraft",'כל ההוצאות'!$F:$F,"מרץ 2026")</f>
        <v/>
      </c>
      <c r="T22" s="42">
        <f>SUMIFS('כל ההוצאות'!$D:$D,'כל ההוצאות'!$B:$B,"Recraft",'כל ההוצאות'!$F:$F,"אפריל 2026")</f>
        <v/>
      </c>
      <c r="U22" s="43">
        <f>SUMIFS('כל ההוצאות'!$E:$E,'כל ההוצאות'!$B:$B,"Recraft",'כל ההוצאות'!$F:$F,"אפריל 2026")</f>
        <v/>
      </c>
      <c r="V22" s="42">
        <f>SUMIFS('כל ההוצאות'!$D:$D,'כל ההוצאות'!$B:$B,"Recraft",'כל ההוצאות'!$F:$F,"מאי 2026")</f>
        <v/>
      </c>
      <c r="W22" s="43">
        <f>SUMIFS('כל ההוצאות'!$E:$E,'כל ההוצאות'!$B:$B,"Recraft",'כל ההוצאות'!$F:$F,"מאי 2026")</f>
        <v/>
      </c>
      <c r="X22" s="42">
        <f>SUMIFS('כל ההוצאות'!$D:$D,'כל ההוצאות'!$B:$B,"Recraft",'כל ההוצאות'!$F:$F,"יוני 2026")</f>
        <v/>
      </c>
      <c r="Y22" s="43">
        <f>SUMIFS('כל ההוצאות'!$E:$E,'כל ההוצאות'!$B:$B,"Recraft",'כל ההוצאות'!$F:$F,"יוני 2026")</f>
        <v/>
      </c>
      <c r="Z22" s="42">
        <f>SUMIFS('כל ההוצאות'!$D:$D,'כל ההוצאות'!$B:$B,"Recraft",'כל ההוצאות'!$F:$F,"יולי 2026")</f>
        <v/>
      </c>
      <c r="AA22" s="43">
        <f>SUMIFS('כל ההוצאות'!$E:$E,'כל ההוצאות'!$B:$B,"Recraft",'כל ההוצאות'!$F:$F,"יולי 2026")</f>
        <v/>
      </c>
      <c r="AB22" s="42">
        <f>SUMIFS('כל ההוצאות'!$D:$D,'כל ההוצאות'!$B:$B,"Recraft",'כל ההוצאות'!$F:$F,"אוגוסט 2026")</f>
        <v/>
      </c>
      <c r="AC22" s="43">
        <f>SUMIFS('כל ההוצאות'!$E:$E,'כל ההוצאות'!$B:$B,"Recraft",'כל ההוצאות'!$F:$F,"אוגוסט 2026")</f>
        <v/>
      </c>
      <c r="AD22" s="42">
        <f>SUMIFS('כל ההוצאות'!$D:$D,'כל ההוצאות'!$B:$B,"Recraft",'כל ההוצאות'!$F:$F,"ספטמבר 2026")</f>
        <v/>
      </c>
      <c r="AE22" s="43">
        <f>SUMIFS('כל ההוצאות'!$E:$E,'כל ההוצאות'!$B:$B,"Recraft",'כל ההוצאות'!$F:$F,"ספטמבר 2026")</f>
        <v/>
      </c>
      <c r="AF22" s="42">
        <f>SUMIFS('כל ההוצאות'!$D:$D,'כל ההוצאות'!$B:$B,"Recraft",'כל ההוצאות'!$F:$F,"אוקטובר 2026")</f>
        <v/>
      </c>
      <c r="AG22" s="43">
        <f>SUMIFS('כל ההוצאות'!$E:$E,'כל ההוצאות'!$B:$B,"Recraft",'כל ההוצאות'!$F:$F,"אוקטובר 2026")</f>
        <v/>
      </c>
      <c r="AH22" s="42">
        <f>SUMIFS('כל ההוצאות'!$D:$D,'כל ההוצאות'!$B:$B,"Recraft",'כל ההוצאות'!$F:$F,"נובמבר 2026")</f>
        <v/>
      </c>
      <c r="AI22" s="43">
        <f>SUMIFS('כל ההוצאות'!$E:$E,'כל ההוצאות'!$B:$B,"Recraft",'כל ההוצאות'!$F:$F,"נובמבר 2026")</f>
        <v/>
      </c>
      <c r="AJ22" s="42">
        <f>SUMIFS('כל ההוצאות'!$D:$D,'כל ההוצאות'!$B:$B,"Recraft",'כל ההוצאות'!$F:$F,"דצמבר 2026")</f>
        <v/>
      </c>
      <c r="AK22" s="43">
        <f>SUMIFS('כל ההוצאות'!$E:$E,'כל ההוצאות'!$B:$B,"Recraft",'כל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Replicate</t>
        </is>
      </c>
      <c r="B23" s="37">
        <f>SUMIFS('כל ההוצאות'!$D:$D,'כל ההוצאות'!$B:$B,"Replicate",'כל ההוצאות'!$F:$F,"יולי 2025")</f>
        <v/>
      </c>
      <c r="C23" s="38">
        <f>SUMIFS('כל ההוצאות'!$E:$E,'כל ההוצאות'!$B:$B,"Replicate",'כל ההוצאות'!$F:$F,"יולי 2025")</f>
        <v/>
      </c>
      <c r="D23" s="37">
        <f>SUMIFS('כל ההוצאות'!$D:$D,'כל ההוצאות'!$B:$B,"Replicate",'כל ההוצאות'!$F:$F,"אוגוסט 2025")</f>
        <v/>
      </c>
      <c r="E23" s="38">
        <f>SUMIFS('כל ההוצאות'!$E:$E,'כל ההוצאות'!$B:$B,"Replicate",'כל ההוצאות'!$F:$F,"אוגוסט 2025")</f>
        <v/>
      </c>
      <c r="F23" s="37">
        <f>SUMIFS('כל ההוצאות'!$D:$D,'כל ההוצאות'!$B:$B,"Replicate",'כל ההוצאות'!$F:$F,"ספטמבר 2025")</f>
        <v/>
      </c>
      <c r="G23" s="38">
        <f>SUMIFS('כל ההוצאות'!$E:$E,'כל ההוצאות'!$B:$B,"Replicate",'כל ההוצאות'!$F:$F,"ספטמבר 2025")</f>
        <v/>
      </c>
      <c r="H23" s="37">
        <f>SUMIFS('כל ההוצאות'!$D:$D,'כל ההוצאות'!$B:$B,"Replicate",'כל ההוצאות'!$F:$F,"אוקטובר 2025")</f>
        <v/>
      </c>
      <c r="I23" s="38">
        <f>SUMIFS('כל ההוצאות'!$E:$E,'כל ההוצאות'!$B:$B,"Replicate",'כל ההוצאות'!$F:$F,"אוקטובר 2025")</f>
        <v/>
      </c>
      <c r="J23" s="37">
        <f>SUMIFS('כל ההוצאות'!$D:$D,'כל ההוצאות'!$B:$B,"Replicate",'כל ההוצאות'!$F:$F,"נובמבר 2025")</f>
        <v/>
      </c>
      <c r="K23" s="38">
        <f>SUMIFS('כל ההוצאות'!$E:$E,'כל ההוצאות'!$B:$B,"Replicate",'כל ההוצאות'!$F:$F,"נובמבר 2025")</f>
        <v/>
      </c>
      <c r="L23" s="37">
        <f>SUMIFS('כל ההוצאות'!$D:$D,'כל ההוצאות'!$B:$B,"Replicate",'כל ההוצאות'!$F:$F,"דצמבר 2025")</f>
        <v/>
      </c>
      <c r="M23" s="38">
        <f>SUMIFS('כל ההוצאות'!$E:$E,'כל ההוצאות'!$B:$B,"Replicate",'כל ההוצאות'!$F:$F,"דצמבר 2025")</f>
        <v/>
      </c>
      <c r="N23" s="37">
        <f>SUMIFS('כל ההוצאות'!$D:$D,'כל ההוצאות'!$B:$B,"Replicate",'כל ההוצאות'!$F:$F,"ינואר 2026")</f>
        <v/>
      </c>
      <c r="O23" s="38">
        <f>SUMIFS('כל ההוצאות'!$E:$E,'כל ההוצאות'!$B:$B,"Replicate",'כל ההוצאות'!$F:$F,"ינואר 2026")</f>
        <v/>
      </c>
      <c r="P23" s="37">
        <f>SUMIFS('כל ההוצאות'!$D:$D,'כל ההוצאות'!$B:$B,"Replicate",'כל ההוצאות'!$F:$F,"פברואר 2026")</f>
        <v/>
      </c>
      <c r="Q23" s="38">
        <f>SUMIFS('כל ההוצאות'!$E:$E,'כל ההוצאות'!$B:$B,"Replicate",'כל ההוצאות'!$F:$F,"פברואר 2026")</f>
        <v/>
      </c>
      <c r="R23" s="37">
        <f>SUMIFS('כל ההוצאות'!$D:$D,'כל ההוצאות'!$B:$B,"Replicate",'כל ההוצאות'!$F:$F,"מרץ 2026")</f>
        <v/>
      </c>
      <c r="S23" s="38">
        <f>SUMIFS('כל ההוצאות'!$E:$E,'כל ההוצאות'!$B:$B,"Replicate",'כל ההוצאות'!$F:$F,"מרץ 2026")</f>
        <v/>
      </c>
      <c r="T23" s="37">
        <f>SUMIFS('כל ההוצאות'!$D:$D,'כל ההוצאות'!$B:$B,"Replicate",'כל ההוצאות'!$F:$F,"אפריל 2026")</f>
        <v/>
      </c>
      <c r="U23" s="38">
        <f>SUMIFS('כל ההוצאות'!$E:$E,'כל ההוצאות'!$B:$B,"Replicate",'כל ההוצאות'!$F:$F,"אפריל 2026")</f>
        <v/>
      </c>
      <c r="V23" s="37">
        <f>SUMIFS('כל ההוצאות'!$D:$D,'כל ההוצאות'!$B:$B,"Replicate",'כל ההוצאות'!$F:$F,"מאי 2026")</f>
        <v/>
      </c>
      <c r="W23" s="38">
        <f>SUMIFS('כל ההוצאות'!$E:$E,'כל ההוצאות'!$B:$B,"Replicate",'כל ההוצאות'!$F:$F,"מאי 2026")</f>
        <v/>
      </c>
      <c r="X23" s="37">
        <f>SUMIFS('כל ההוצאות'!$D:$D,'כל ההוצאות'!$B:$B,"Replicate",'כל ההוצאות'!$F:$F,"יוני 2026")</f>
        <v/>
      </c>
      <c r="Y23" s="38">
        <f>SUMIFS('כל ההוצאות'!$E:$E,'כל ההוצאות'!$B:$B,"Replicate",'כל ההוצאות'!$F:$F,"יוני 2026")</f>
        <v/>
      </c>
      <c r="Z23" s="37">
        <f>SUMIFS('כל ההוצאות'!$D:$D,'כל ההוצאות'!$B:$B,"Replicate",'כל ההוצאות'!$F:$F,"יולי 2026")</f>
        <v/>
      </c>
      <c r="AA23" s="38">
        <f>SUMIFS('כל ההוצאות'!$E:$E,'כל ההוצאות'!$B:$B,"Replicate",'כל ההוצאות'!$F:$F,"יולי 2026")</f>
        <v/>
      </c>
      <c r="AB23" s="37">
        <f>SUMIFS('כל ההוצאות'!$D:$D,'כל ההוצאות'!$B:$B,"Replicate",'כל ההוצאות'!$F:$F,"אוגוסט 2026")</f>
        <v/>
      </c>
      <c r="AC23" s="38">
        <f>SUMIFS('כל ההוצאות'!$E:$E,'כל ההוצאות'!$B:$B,"Replicate",'כל ההוצאות'!$F:$F,"אוגוסט 2026")</f>
        <v/>
      </c>
      <c r="AD23" s="37">
        <f>SUMIFS('כל ההוצאות'!$D:$D,'כל ההוצאות'!$B:$B,"Replicate",'כל ההוצאות'!$F:$F,"ספטמבר 2026")</f>
        <v/>
      </c>
      <c r="AE23" s="38">
        <f>SUMIFS('כל ההוצאות'!$E:$E,'כל ההוצאות'!$B:$B,"Replicate",'כל ההוצאות'!$F:$F,"ספטמבר 2026")</f>
        <v/>
      </c>
      <c r="AF23" s="37">
        <f>SUMIFS('כל ההוצאות'!$D:$D,'כל ההוצאות'!$B:$B,"Replicate",'כל ההוצאות'!$F:$F,"אוקטובר 2026")</f>
        <v/>
      </c>
      <c r="AG23" s="38">
        <f>SUMIFS('כל ההוצאות'!$E:$E,'כל ההוצאות'!$B:$B,"Replicate",'כל ההוצאות'!$F:$F,"אוקטובר 2026")</f>
        <v/>
      </c>
      <c r="AH23" s="37">
        <f>SUMIFS('כל ההוצאות'!$D:$D,'כל ההוצאות'!$B:$B,"Replicate",'כל ההוצאות'!$F:$F,"נובמבר 2026")</f>
        <v/>
      </c>
      <c r="AI23" s="38">
        <f>SUMIFS('כל ההוצאות'!$E:$E,'כל ההוצאות'!$B:$B,"Replicate",'כל ההוצאות'!$F:$F,"נובמבר 2026")</f>
        <v/>
      </c>
      <c r="AJ23" s="37">
        <f>SUMIFS('כל ההוצאות'!$D:$D,'כל ההוצאות'!$B:$B,"Replicate",'כל ההוצאות'!$F:$F,"דצמבר 2026")</f>
        <v/>
      </c>
      <c r="AK23" s="38">
        <f>SUMIFS('כל ההוצאות'!$E:$E,'כל ההוצאות'!$B:$B,"Replicate",'כל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Runway ML</t>
        </is>
      </c>
      <c r="B24" s="42">
        <f>SUMIFS('כל ההוצאות'!$D:$D,'כל ההוצאות'!$B:$B,"Runway ML",'כל ההוצאות'!$F:$F,"יולי 2025")</f>
        <v/>
      </c>
      <c r="C24" s="43">
        <f>SUMIFS('כל ההוצאות'!$E:$E,'כל ההוצאות'!$B:$B,"Runway ML",'כל ההוצאות'!$F:$F,"יולי 2025")</f>
        <v/>
      </c>
      <c r="D24" s="42">
        <f>SUMIFS('כל ההוצאות'!$D:$D,'כל ההוצאות'!$B:$B,"Runway ML",'כל ההוצאות'!$F:$F,"אוגוסט 2025")</f>
        <v/>
      </c>
      <c r="E24" s="43">
        <f>SUMIFS('כל ההוצאות'!$E:$E,'כל ההוצאות'!$B:$B,"Runway ML",'כל ההוצאות'!$F:$F,"אוגוסט 2025")</f>
        <v/>
      </c>
      <c r="F24" s="42">
        <f>SUMIFS('כל ההוצאות'!$D:$D,'כל ההוצאות'!$B:$B,"Runway ML",'כל ההוצאות'!$F:$F,"ספטמבר 2025")</f>
        <v/>
      </c>
      <c r="G24" s="43">
        <f>SUMIFS('כל ההוצאות'!$E:$E,'כל ההוצאות'!$B:$B,"Runway ML",'כל ההוצאות'!$F:$F,"ספטמבר 2025")</f>
        <v/>
      </c>
      <c r="H24" s="42">
        <f>SUMIFS('כל ההוצאות'!$D:$D,'כל ההוצאות'!$B:$B,"Runway ML",'כל ההוצאות'!$F:$F,"אוקטובר 2025")</f>
        <v/>
      </c>
      <c r="I24" s="43">
        <f>SUMIFS('כל ההוצאות'!$E:$E,'כל ההוצאות'!$B:$B,"Runway ML",'כל ההוצאות'!$F:$F,"אוקטובר 2025")</f>
        <v/>
      </c>
      <c r="J24" s="42">
        <f>SUMIFS('כל ההוצאות'!$D:$D,'כל ההוצאות'!$B:$B,"Runway ML",'כל ההוצאות'!$F:$F,"נובמבר 2025")</f>
        <v/>
      </c>
      <c r="K24" s="43">
        <f>SUMIFS('כל ההוצאות'!$E:$E,'כל ההוצאות'!$B:$B,"Runway ML",'כל ההוצאות'!$F:$F,"נובמבר 2025")</f>
        <v/>
      </c>
      <c r="L24" s="42">
        <f>SUMIFS('כל ההוצאות'!$D:$D,'כל ההוצאות'!$B:$B,"Runway ML",'כל ההוצאות'!$F:$F,"דצמבר 2025")</f>
        <v/>
      </c>
      <c r="M24" s="43">
        <f>SUMIFS('כל ההוצאות'!$E:$E,'כל ההוצאות'!$B:$B,"Runway ML",'כל ההוצאות'!$F:$F,"דצמבר 2025")</f>
        <v/>
      </c>
      <c r="N24" s="42">
        <f>SUMIFS('כל ההוצאות'!$D:$D,'כל ההוצאות'!$B:$B,"Runway ML",'כל ההוצאות'!$F:$F,"ינואר 2026")</f>
        <v/>
      </c>
      <c r="O24" s="43">
        <f>SUMIFS('כל ההוצאות'!$E:$E,'כל ההוצאות'!$B:$B,"Runway ML",'כל ההוצאות'!$F:$F,"ינואר 2026")</f>
        <v/>
      </c>
      <c r="P24" s="42">
        <f>SUMIFS('כל ההוצאות'!$D:$D,'כל ההוצאות'!$B:$B,"Runway ML",'כל ההוצאות'!$F:$F,"פברואר 2026")</f>
        <v/>
      </c>
      <c r="Q24" s="43">
        <f>SUMIFS('כל ההוצאות'!$E:$E,'כל ההוצאות'!$B:$B,"Runway ML",'כל ההוצאות'!$F:$F,"פברואר 2026")</f>
        <v/>
      </c>
      <c r="R24" s="42">
        <f>SUMIFS('כל ההוצאות'!$D:$D,'כל ההוצאות'!$B:$B,"Runway ML",'כל ההוצאות'!$F:$F,"מרץ 2026")</f>
        <v/>
      </c>
      <c r="S24" s="43">
        <f>SUMIFS('כל ההוצאות'!$E:$E,'כל ההוצאות'!$B:$B,"Runway ML",'כל ההוצאות'!$F:$F,"מרץ 2026")</f>
        <v/>
      </c>
      <c r="T24" s="42">
        <f>SUMIFS('כל ההוצאות'!$D:$D,'כל ההוצאות'!$B:$B,"Runway ML",'כל ההוצאות'!$F:$F,"אפריל 2026")</f>
        <v/>
      </c>
      <c r="U24" s="43">
        <f>SUMIFS('כל ההוצאות'!$E:$E,'כל ההוצאות'!$B:$B,"Runway ML",'כל ההוצאות'!$F:$F,"אפריל 2026")</f>
        <v/>
      </c>
      <c r="V24" s="42">
        <f>SUMIFS('כל ההוצאות'!$D:$D,'כל ההוצאות'!$B:$B,"Runway ML",'כל ההוצאות'!$F:$F,"מאי 2026")</f>
        <v/>
      </c>
      <c r="W24" s="43">
        <f>SUMIFS('כל ההוצאות'!$E:$E,'כל ההוצאות'!$B:$B,"Runway ML",'כל ההוצאות'!$F:$F,"מאי 2026")</f>
        <v/>
      </c>
      <c r="X24" s="42">
        <f>SUMIFS('כל ההוצאות'!$D:$D,'כל ההוצאות'!$B:$B,"Runway ML",'כל ההוצאות'!$F:$F,"יוני 2026")</f>
        <v/>
      </c>
      <c r="Y24" s="43">
        <f>SUMIFS('כל ההוצאות'!$E:$E,'כל ההוצאות'!$B:$B,"Runway ML",'כל ההוצאות'!$F:$F,"יוני 2026")</f>
        <v/>
      </c>
      <c r="Z24" s="42">
        <f>SUMIFS('כל ההוצאות'!$D:$D,'כל ההוצאות'!$B:$B,"Runway ML",'כל ההוצאות'!$F:$F,"יולי 2026")</f>
        <v/>
      </c>
      <c r="AA24" s="43">
        <f>SUMIFS('כל ההוצאות'!$E:$E,'כל ההוצאות'!$B:$B,"Runway ML",'כל ההוצאות'!$F:$F,"יולי 2026")</f>
        <v/>
      </c>
      <c r="AB24" s="42">
        <f>SUMIFS('כל ההוצאות'!$D:$D,'כל ההוצאות'!$B:$B,"Runway ML",'כל ההוצאות'!$F:$F,"אוגוסט 2026")</f>
        <v/>
      </c>
      <c r="AC24" s="43">
        <f>SUMIFS('כל ההוצאות'!$E:$E,'כל ההוצאות'!$B:$B,"Runway ML",'כל ההוצאות'!$F:$F,"אוגוסט 2026")</f>
        <v/>
      </c>
      <c r="AD24" s="42">
        <f>SUMIFS('כל ההוצאות'!$D:$D,'כל ההוצאות'!$B:$B,"Runway ML",'כל ההוצאות'!$F:$F,"ספטמבר 2026")</f>
        <v/>
      </c>
      <c r="AE24" s="43">
        <f>SUMIFS('כל ההוצאות'!$E:$E,'כל ההוצאות'!$B:$B,"Runway ML",'כל ההוצאות'!$F:$F,"ספטמבר 2026")</f>
        <v/>
      </c>
      <c r="AF24" s="42">
        <f>SUMIFS('כל ההוצאות'!$D:$D,'כל ההוצאות'!$B:$B,"Runway ML",'כל ההוצאות'!$F:$F,"אוקטובר 2026")</f>
        <v/>
      </c>
      <c r="AG24" s="43">
        <f>SUMIFS('כל ההוצאות'!$E:$E,'כל ההוצאות'!$B:$B,"Runway ML",'כל ההוצאות'!$F:$F,"אוקטובר 2026")</f>
        <v/>
      </c>
      <c r="AH24" s="42">
        <f>SUMIFS('כל ההוצאות'!$D:$D,'כל ההוצאות'!$B:$B,"Runway ML",'כל ההוצאות'!$F:$F,"נובמבר 2026")</f>
        <v/>
      </c>
      <c r="AI24" s="43">
        <f>SUMIFS('כל ההוצאות'!$E:$E,'כל ההוצאות'!$B:$B,"Runway ML",'כל ההוצאות'!$F:$F,"נובמבר 2026")</f>
        <v/>
      </c>
      <c r="AJ24" s="42">
        <f>SUMIFS('כל ההוצאות'!$D:$D,'כל ההוצאות'!$B:$B,"Runway ML",'כל ההוצאות'!$F:$F,"דצמבר 2026")</f>
        <v/>
      </c>
      <c r="AK24" s="43">
        <f>SUMIFS('כל ההוצאות'!$E:$E,'כל ההוצאות'!$B:$B,"Runway ML",'כל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Supabase</t>
        </is>
      </c>
      <c r="B25" s="37">
        <f>SUMIFS('כל ההוצאות'!$D:$D,'כל ההוצאות'!$B:$B,"Supabase",'כל ההוצאות'!$F:$F,"יולי 2025")</f>
        <v/>
      </c>
      <c r="C25" s="38">
        <f>SUMIFS('כל ההוצאות'!$E:$E,'כל ההוצאות'!$B:$B,"Supabase",'כל ההוצאות'!$F:$F,"יולי 2025")</f>
        <v/>
      </c>
      <c r="D25" s="37">
        <f>SUMIFS('כל ההוצאות'!$D:$D,'כל ההוצאות'!$B:$B,"Supabase",'כל ההוצאות'!$F:$F,"אוגוסט 2025")</f>
        <v/>
      </c>
      <c r="E25" s="38">
        <f>SUMIFS('כל ההוצאות'!$E:$E,'כל ההוצאות'!$B:$B,"Supabase",'כל ההוצאות'!$F:$F,"אוגוסט 2025")</f>
        <v/>
      </c>
      <c r="F25" s="37">
        <f>SUMIFS('כל ההוצאות'!$D:$D,'כל ההוצאות'!$B:$B,"Supabase",'כל ההוצאות'!$F:$F,"ספטמבר 2025")</f>
        <v/>
      </c>
      <c r="G25" s="38">
        <f>SUMIFS('כל ההוצאות'!$E:$E,'כל ההוצאות'!$B:$B,"Supabase",'כל ההוצאות'!$F:$F,"ספטמבר 2025")</f>
        <v/>
      </c>
      <c r="H25" s="37">
        <f>SUMIFS('כל ההוצאות'!$D:$D,'כל ההוצאות'!$B:$B,"Supabase",'כל ההוצאות'!$F:$F,"אוקטובר 2025")</f>
        <v/>
      </c>
      <c r="I25" s="38">
        <f>SUMIFS('כל ההוצאות'!$E:$E,'כל ההוצאות'!$B:$B,"Supabase",'כל ההוצאות'!$F:$F,"אוקטובר 2025")</f>
        <v/>
      </c>
      <c r="J25" s="37">
        <f>SUMIFS('כל ההוצאות'!$D:$D,'כל ההוצאות'!$B:$B,"Supabase",'כל ההוצאות'!$F:$F,"נובמבר 2025")</f>
        <v/>
      </c>
      <c r="K25" s="38">
        <f>SUMIFS('כל ההוצאות'!$E:$E,'כל ההוצאות'!$B:$B,"Supabase",'כל ההוצאות'!$F:$F,"נובמבר 2025")</f>
        <v/>
      </c>
      <c r="L25" s="37">
        <f>SUMIFS('כל ההוצאות'!$D:$D,'כל ההוצאות'!$B:$B,"Supabase",'כל ההוצאות'!$F:$F,"דצמבר 2025")</f>
        <v/>
      </c>
      <c r="M25" s="38">
        <f>SUMIFS('כל ההוצאות'!$E:$E,'כל ההוצאות'!$B:$B,"Supabase",'כל ההוצאות'!$F:$F,"דצמבר 2025")</f>
        <v/>
      </c>
      <c r="N25" s="37">
        <f>SUMIFS('כל ההוצאות'!$D:$D,'כל ההוצאות'!$B:$B,"Supabase",'כל ההוצאות'!$F:$F,"ינואר 2026")</f>
        <v/>
      </c>
      <c r="O25" s="38">
        <f>SUMIFS('כל ההוצאות'!$E:$E,'כל ההוצאות'!$B:$B,"Supabase",'כל ההוצאות'!$F:$F,"ינואר 2026")</f>
        <v/>
      </c>
      <c r="P25" s="37">
        <f>SUMIFS('כל ההוצאות'!$D:$D,'כל ההוצאות'!$B:$B,"Supabase",'כל ההוצאות'!$F:$F,"פברואר 2026")</f>
        <v/>
      </c>
      <c r="Q25" s="38">
        <f>SUMIFS('כל ההוצאות'!$E:$E,'כל ההוצאות'!$B:$B,"Supabase",'כל ההוצאות'!$F:$F,"פברואר 2026")</f>
        <v/>
      </c>
      <c r="R25" s="37">
        <f>SUMIFS('כל ההוצאות'!$D:$D,'כל ההוצאות'!$B:$B,"Supabase",'כל ההוצאות'!$F:$F,"מרץ 2026")</f>
        <v/>
      </c>
      <c r="S25" s="38">
        <f>SUMIFS('כל ההוצאות'!$E:$E,'כל ההוצאות'!$B:$B,"Supabase",'כל ההוצאות'!$F:$F,"מרץ 2026")</f>
        <v/>
      </c>
      <c r="T25" s="37">
        <f>SUMIFS('כל ההוצאות'!$D:$D,'כל ההוצאות'!$B:$B,"Supabase",'כל ההוצאות'!$F:$F,"אפריל 2026")</f>
        <v/>
      </c>
      <c r="U25" s="38">
        <f>SUMIFS('כל ההוצאות'!$E:$E,'כל ההוצאות'!$B:$B,"Supabase",'כל ההוצאות'!$F:$F,"אפריל 2026")</f>
        <v/>
      </c>
      <c r="V25" s="37">
        <f>SUMIFS('כל ההוצאות'!$D:$D,'כל ההוצאות'!$B:$B,"Supabase",'כל ההוצאות'!$F:$F,"מאי 2026")</f>
        <v/>
      </c>
      <c r="W25" s="38">
        <f>SUMIFS('כל ההוצאות'!$E:$E,'כל ההוצאות'!$B:$B,"Supabase",'כל ההוצאות'!$F:$F,"מאי 2026")</f>
        <v/>
      </c>
      <c r="X25" s="37">
        <f>SUMIFS('כל ההוצאות'!$D:$D,'כל ההוצאות'!$B:$B,"Supabase",'כל ההוצאות'!$F:$F,"יוני 2026")</f>
        <v/>
      </c>
      <c r="Y25" s="38">
        <f>SUMIFS('כל ההוצאות'!$E:$E,'כל ההוצאות'!$B:$B,"Supabase",'כל ההוצאות'!$F:$F,"יוני 2026")</f>
        <v/>
      </c>
      <c r="Z25" s="37">
        <f>SUMIFS('כל ההוצאות'!$D:$D,'כל ההוצאות'!$B:$B,"Supabase",'כל ההוצאות'!$F:$F,"יולי 2026")</f>
        <v/>
      </c>
      <c r="AA25" s="38">
        <f>SUMIFS('כל ההוצאות'!$E:$E,'כל ההוצאות'!$B:$B,"Supabase",'כל ההוצאות'!$F:$F,"יולי 2026")</f>
        <v/>
      </c>
      <c r="AB25" s="37">
        <f>SUMIFS('כל ההוצאות'!$D:$D,'כל ההוצאות'!$B:$B,"Supabase",'כל ההוצאות'!$F:$F,"אוגוסט 2026")</f>
        <v/>
      </c>
      <c r="AC25" s="38">
        <f>SUMIFS('כל ההוצאות'!$E:$E,'כל ההוצאות'!$B:$B,"Supabase",'כל ההוצאות'!$F:$F,"אוגוסט 2026")</f>
        <v/>
      </c>
      <c r="AD25" s="37">
        <f>SUMIFS('כל ההוצאות'!$D:$D,'כל ההוצאות'!$B:$B,"Supabase",'כל ההוצאות'!$F:$F,"ספטמבר 2026")</f>
        <v/>
      </c>
      <c r="AE25" s="38">
        <f>SUMIFS('כל ההוצאות'!$E:$E,'כל ההוצאות'!$B:$B,"Supabase",'כל ההוצאות'!$F:$F,"ספטמבר 2026")</f>
        <v/>
      </c>
      <c r="AF25" s="37">
        <f>SUMIFS('כל ההוצאות'!$D:$D,'כל ההוצאות'!$B:$B,"Supabase",'כל ההוצאות'!$F:$F,"אוקטובר 2026")</f>
        <v/>
      </c>
      <c r="AG25" s="38">
        <f>SUMIFS('כל ההוצאות'!$E:$E,'כל ההוצאות'!$B:$B,"Supabase",'כל ההוצאות'!$F:$F,"אוקטובר 2026")</f>
        <v/>
      </c>
      <c r="AH25" s="37">
        <f>SUMIFS('כל ההוצאות'!$D:$D,'כל ההוצאות'!$B:$B,"Supabase",'כל ההוצאות'!$F:$F,"נובמבר 2026")</f>
        <v/>
      </c>
      <c r="AI25" s="38">
        <f>SUMIFS('כל ההוצאות'!$E:$E,'כל ההוצאות'!$B:$B,"Supabase",'כל ההוצאות'!$F:$F,"נובמבר 2026")</f>
        <v/>
      </c>
      <c r="AJ25" s="37">
        <f>SUMIFS('כל ההוצאות'!$D:$D,'כל ההוצאות'!$B:$B,"Supabase",'כל ההוצאות'!$F:$F,"דצמבר 2026")</f>
        <v/>
      </c>
      <c r="AK25" s="38">
        <f>SUMIFS('כל ההוצאות'!$E:$E,'כל ההוצאות'!$B:$B,"Supabase",'כל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Timeless</t>
        </is>
      </c>
      <c r="B26" s="42">
        <f>SUMIFS('כל ההוצאות'!$D:$D,'כל ההוצאות'!$B:$B,"Timeless",'כל ההוצאות'!$F:$F,"יולי 2025")</f>
        <v/>
      </c>
      <c r="C26" s="43">
        <f>SUMIFS('כל ההוצאות'!$E:$E,'כל ההוצאות'!$B:$B,"Timeless",'כל ההוצאות'!$F:$F,"יולי 2025")</f>
        <v/>
      </c>
      <c r="D26" s="42">
        <f>SUMIFS('כל ההוצאות'!$D:$D,'כל ההוצאות'!$B:$B,"Timeless",'כל ההוצאות'!$F:$F,"אוגוסט 2025")</f>
        <v/>
      </c>
      <c r="E26" s="43">
        <f>SUMIFS('כל ההוצאות'!$E:$E,'כל ההוצאות'!$B:$B,"Timeless",'כל ההוצאות'!$F:$F,"אוגוסט 2025")</f>
        <v/>
      </c>
      <c r="F26" s="42">
        <f>SUMIFS('כל ההוצאות'!$D:$D,'כל ההוצאות'!$B:$B,"Timeless",'כל ההוצאות'!$F:$F,"ספטמבר 2025")</f>
        <v/>
      </c>
      <c r="G26" s="43">
        <f>SUMIFS('כל ההוצאות'!$E:$E,'כל ההוצאות'!$B:$B,"Timeless",'כל ההוצאות'!$F:$F,"ספטמבר 2025")</f>
        <v/>
      </c>
      <c r="H26" s="42">
        <f>SUMIFS('כל ההוצאות'!$D:$D,'כל ההוצאות'!$B:$B,"Timeless",'כל ההוצאות'!$F:$F,"אוקטובר 2025")</f>
        <v/>
      </c>
      <c r="I26" s="43">
        <f>SUMIFS('כל ההוצאות'!$E:$E,'כל ההוצאות'!$B:$B,"Timeless",'כל ההוצאות'!$F:$F,"אוקטובר 2025")</f>
        <v/>
      </c>
      <c r="J26" s="42">
        <f>SUMIFS('כל ההוצאות'!$D:$D,'כל ההוצאות'!$B:$B,"Timeless",'כל ההוצאות'!$F:$F,"נובמבר 2025")</f>
        <v/>
      </c>
      <c r="K26" s="43">
        <f>SUMIFS('כל ההוצאות'!$E:$E,'כל ההוצאות'!$B:$B,"Timeless",'כל ההוצאות'!$F:$F,"נובמבר 2025")</f>
        <v/>
      </c>
      <c r="L26" s="42">
        <f>SUMIFS('כל ההוצאות'!$D:$D,'כל ההוצאות'!$B:$B,"Timeless",'כל ההוצאות'!$F:$F,"דצמבר 2025")</f>
        <v/>
      </c>
      <c r="M26" s="43">
        <f>SUMIFS('כל ההוצאות'!$E:$E,'כל ההוצאות'!$B:$B,"Timeless",'כל ההוצאות'!$F:$F,"דצמבר 2025")</f>
        <v/>
      </c>
      <c r="N26" s="42">
        <f>SUMIFS('כל ההוצאות'!$D:$D,'כל ההוצאות'!$B:$B,"Timeless",'כל ההוצאות'!$F:$F,"ינואר 2026")</f>
        <v/>
      </c>
      <c r="O26" s="43">
        <f>SUMIFS('כל ההוצאות'!$E:$E,'כל ההוצאות'!$B:$B,"Timeless",'כל ההוצאות'!$F:$F,"ינואר 2026")</f>
        <v/>
      </c>
      <c r="P26" s="42">
        <f>SUMIFS('כל ההוצאות'!$D:$D,'כל ההוצאות'!$B:$B,"Timeless",'כל ההוצאות'!$F:$F,"פברואר 2026")</f>
        <v/>
      </c>
      <c r="Q26" s="43">
        <f>SUMIFS('כל ההוצאות'!$E:$E,'כל ההוצאות'!$B:$B,"Timeless",'כל ההוצאות'!$F:$F,"פברואר 2026")</f>
        <v/>
      </c>
      <c r="R26" s="42">
        <f>SUMIFS('כל ההוצאות'!$D:$D,'כל ההוצאות'!$B:$B,"Timeless",'כל ההוצאות'!$F:$F,"מרץ 2026")</f>
        <v/>
      </c>
      <c r="S26" s="43">
        <f>SUMIFS('כל ההוצאות'!$E:$E,'כל ההוצאות'!$B:$B,"Timeless",'כל ההוצאות'!$F:$F,"מרץ 2026")</f>
        <v/>
      </c>
      <c r="T26" s="42">
        <f>SUMIFS('כל ההוצאות'!$D:$D,'כל ההוצאות'!$B:$B,"Timeless",'כל ההוצאות'!$F:$F,"אפריל 2026")</f>
        <v/>
      </c>
      <c r="U26" s="43">
        <f>SUMIFS('כל ההוצאות'!$E:$E,'כל ההוצאות'!$B:$B,"Timeless",'כל ההוצאות'!$F:$F,"אפריל 2026")</f>
        <v/>
      </c>
      <c r="V26" s="42">
        <f>SUMIFS('כל ההוצאות'!$D:$D,'כל ההוצאות'!$B:$B,"Timeless",'כל ההוצאות'!$F:$F,"מאי 2026")</f>
        <v/>
      </c>
      <c r="W26" s="43">
        <f>SUMIFS('כל ההוצאות'!$E:$E,'כל ההוצאות'!$B:$B,"Timeless",'כל ההוצאות'!$F:$F,"מאי 2026")</f>
        <v/>
      </c>
      <c r="X26" s="42">
        <f>SUMIFS('כל ההוצאות'!$D:$D,'כל ההוצאות'!$B:$B,"Timeless",'כל ההוצאות'!$F:$F,"יוני 2026")</f>
        <v/>
      </c>
      <c r="Y26" s="43">
        <f>SUMIFS('כל ההוצאות'!$E:$E,'כל ההוצאות'!$B:$B,"Timeless",'כל ההוצאות'!$F:$F,"יוני 2026")</f>
        <v/>
      </c>
      <c r="Z26" s="42">
        <f>SUMIFS('כל ההוצאות'!$D:$D,'כל ההוצאות'!$B:$B,"Timeless",'כל ההוצאות'!$F:$F,"יולי 2026")</f>
        <v/>
      </c>
      <c r="AA26" s="43">
        <f>SUMIFS('כל ההוצאות'!$E:$E,'כל ההוצאות'!$B:$B,"Timeless",'כל ההוצאות'!$F:$F,"יולי 2026")</f>
        <v/>
      </c>
      <c r="AB26" s="42">
        <f>SUMIFS('כל ההוצאות'!$D:$D,'כל ההוצאות'!$B:$B,"Timeless",'כל ההוצאות'!$F:$F,"אוגוסט 2026")</f>
        <v/>
      </c>
      <c r="AC26" s="43">
        <f>SUMIFS('כל ההוצאות'!$E:$E,'כל ההוצאות'!$B:$B,"Timeless",'כל ההוצאות'!$F:$F,"אוגוסט 2026")</f>
        <v/>
      </c>
      <c r="AD26" s="42">
        <f>SUMIFS('כל ההוצאות'!$D:$D,'כל ההוצאות'!$B:$B,"Timeless",'כל ההוצאות'!$F:$F,"ספטמבר 2026")</f>
        <v/>
      </c>
      <c r="AE26" s="43">
        <f>SUMIFS('כל ההוצאות'!$E:$E,'כל ההוצאות'!$B:$B,"Timeless",'כל ההוצאות'!$F:$F,"ספטמבר 2026")</f>
        <v/>
      </c>
      <c r="AF26" s="42">
        <f>SUMIFS('כל ההוצאות'!$D:$D,'כל ההוצאות'!$B:$B,"Timeless",'כל ההוצאות'!$F:$F,"אוקטובר 2026")</f>
        <v/>
      </c>
      <c r="AG26" s="43">
        <f>SUMIFS('כל ההוצאות'!$E:$E,'כל ההוצאות'!$B:$B,"Timeless",'כל ההוצאות'!$F:$F,"אוקטובר 2026")</f>
        <v/>
      </c>
      <c r="AH26" s="42">
        <f>SUMIFS('כל ההוצאות'!$D:$D,'כל ההוצאות'!$B:$B,"Timeless",'כל ההוצאות'!$F:$F,"נובמבר 2026")</f>
        <v/>
      </c>
      <c r="AI26" s="43">
        <f>SUMIFS('כל ההוצאות'!$E:$E,'כל ההוצאות'!$B:$B,"Timeless",'כל ההוצאות'!$F:$F,"נובמבר 2026")</f>
        <v/>
      </c>
      <c r="AJ26" s="42">
        <f>SUMIFS('כל ההוצאות'!$D:$D,'כל ההוצאות'!$B:$B,"Timeless",'כל ההוצאות'!$F:$F,"דצמבר 2026")</f>
        <v/>
      </c>
      <c r="AK26" s="43">
        <f>SUMIFS('כל ההוצאות'!$E:$E,'כל ההוצאות'!$B:$B,"Timeless",'כל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 ht="24" customHeight="1">
      <c r="A27" s="30" t="inlineStr">
        <is>
          <t>סה"כ חודשי</t>
        </is>
      </c>
      <c r="B27" s="20">
        <f>SUM(B5:B26)</f>
        <v/>
      </c>
      <c r="C27" s="21">
        <f>SUM(C5:C26)</f>
        <v/>
      </c>
      <c r="D27" s="20">
        <f>SUM(D5:D26)</f>
        <v/>
      </c>
      <c r="E27" s="21">
        <f>SUM(E5:E26)</f>
        <v/>
      </c>
      <c r="F27" s="20">
        <f>SUM(F5:F26)</f>
        <v/>
      </c>
      <c r="G27" s="21">
        <f>SUM(G5:G26)</f>
        <v/>
      </c>
      <c r="H27" s="20">
        <f>SUM(H5:H26)</f>
        <v/>
      </c>
      <c r="I27" s="21">
        <f>SUM(I5:I26)</f>
        <v/>
      </c>
      <c r="J27" s="20">
        <f>SUM(J5:J26)</f>
        <v/>
      </c>
      <c r="K27" s="21">
        <f>SUM(K5:K26)</f>
        <v/>
      </c>
      <c r="L27" s="20">
        <f>SUM(L5:L26)</f>
        <v/>
      </c>
      <c r="M27" s="21">
        <f>SUM(M5:M26)</f>
        <v/>
      </c>
      <c r="N27" s="20">
        <f>SUM(N5:N26)</f>
        <v/>
      </c>
      <c r="O27" s="21">
        <f>SUM(O5:O26)</f>
        <v/>
      </c>
      <c r="P27" s="20">
        <f>SUM(P5:P26)</f>
        <v/>
      </c>
      <c r="Q27" s="21">
        <f>SUM(Q5:Q26)</f>
        <v/>
      </c>
      <c r="R27" s="20">
        <f>SUM(R5:R26)</f>
        <v/>
      </c>
      <c r="S27" s="21">
        <f>SUM(S5:S26)</f>
        <v/>
      </c>
      <c r="T27" s="20">
        <f>SUM(T5:T26)</f>
        <v/>
      </c>
      <c r="U27" s="21">
        <f>SUM(U5:U26)</f>
        <v/>
      </c>
      <c r="V27" s="20">
        <f>SUM(V5:V26)</f>
        <v/>
      </c>
      <c r="W27" s="21">
        <f>SUM(W5:W26)</f>
        <v/>
      </c>
      <c r="X27" s="20">
        <f>SUM(X5:X26)</f>
        <v/>
      </c>
      <c r="Y27" s="21">
        <f>SUM(Y5:Y26)</f>
        <v/>
      </c>
      <c r="Z27" s="20">
        <f>SUM(Z5:Z26)</f>
        <v/>
      </c>
      <c r="AA27" s="21">
        <f>SUM(AA5:AA26)</f>
        <v/>
      </c>
      <c r="AB27" s="20">
        <f>SUM(AB5:AB26)</f>
        <v/>
      </c>
      <c r="AC27" s="21">
        <f>SUM(AC5:AC26)</f>
        <v/>
      </c>
      <c r="AD27" s="20">
        <f>SUM(AD5:AD26)</f>
        <v/>
      </c>
      <c r="AE27" s="21">
        <f>SUM(AE5:AE26)</f>
        <v/>
      </c>
      <c r="AF27" s="20">
        <f>SUM(AF5:AF26)</f>
        <v/>
      </c>
      <c r="AG27" s="21">
        <f>SUM(AG5:AG26)</f>
        <v/>
      </c>
      <c r="AH27" s="20">
        <f>SUM(AH5:AH26)</f>
        <v/>
      </c>
      <c r="AI27" s="21">
        <f>SUM(AI5:AI26)</f>
        <v/>
      </c>
      <c r="AJ27" s="20">
        <f>SUM(AJ5:AJ26)</f>
        <v/>
      </c>
      <c r="AK27" s="21">
        <f>SUM(AK5:AK26)</f>
        <v/>
      </c>
      <c r="AL27" s="44">
        <f>SUM(AL5:AL26)</f>
        <v/>
      </c>
      <c r="AM27" s="45">
        <f>SUM(AM5:AM26)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2026-05-01T00:42:07Z</dcterms:created>
  <dcterms:modified xmlns:dcterms="http://purl.org/dc/terms/" xmlns:xsi="http://www.w3.org/2001/XMLSchema-instance" xsi:type="dcterms:W3CDTF">2026-05-01T00:42:08Z</dcterms:modified>
</cp:coreProperties>
</file>