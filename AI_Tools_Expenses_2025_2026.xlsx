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3.142</v>
      </c>
      <c r="C4" s="5" t="inlineStr">
        <is>
          <t>← מקור: Bank of Israel Public API | עודכן: 2026-04-07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3.14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226.22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33.27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62.84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62.84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42.42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355.49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31.42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47.13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37.7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2.83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59.7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33.27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62.84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62.84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35.35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8.77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33.27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62.84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62.84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15.71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62.84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62.84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15.71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37.7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37.08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47.13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31.42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62.84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62.84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15.71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47.13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30.54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94.26000000000001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103.69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62.84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113.11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15.71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439.63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47.13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61.05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62.84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62.84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122.54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78.55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135.11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15.71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45.56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78.55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98.72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147.67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62.84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15.71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62.84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62.84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157.1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160.24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15.71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31.42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31.42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45.56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31.42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126.03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160.24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62.84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62.84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31.42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34.56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15.71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62.84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15.71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160.24</v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 t="n">
        <v>7.07</v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 t="n">
        <v>62.84</v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 t="n">
        <v>62.84</v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62.84</v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62.84</v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62.84</v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62.84</v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62.84</v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62.84</v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62.84</v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62.84</v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3.14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226.22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62.84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42.42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355.49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31.42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47.13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37.7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2.83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59.7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33.27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62.84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35.35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8.77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62.84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62.84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15.71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62.84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62.84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15.71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37.7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37.08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31.42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15.71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47.13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30.54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94.26000000000001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103.69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113.11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15.71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439.63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61.05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62.84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122.54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78.55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135.11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45.56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78.55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98.72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147.67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15.71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157.1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160.24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31.42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31.42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45.56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31.42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126.03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160.24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31.42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34.56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15.71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62.84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15.71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160.24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 t="n">
        <v>7.07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62.84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SUMIFS('כל ההוצאות'!$E:$E,'כל ההוצאות'!$B:$B,"Eleven Labs",'כל ההוצאות'!$F:$F,"יולי 2025")</f>
        <v/>
      </c>
      <c r="D8" s="42">
        <f>SUMIFS('כל ההוצאות'!$D:$D,'כל ההוצאות'!$B:$B,"Eleven Labs",'כל ההוצאות'!$F:$F,"אוגוסט 2025")</f>
        <v/>
      </c>
      <c r="E8" s="43">
        <f>SUMIFS('כל ההוצאות'!$E:$E,'כל ההוצאות'!$B:$B,"Eleven Labs",'כל ההוצאות'!$F:$F,"אוגוסט 2025")</f>
        <v/>
      </c>
      <c r="F8" s="42">
        <f>SUMIFS('כל ההוצאות'!$D:$D,'כל ההוצאות'!$B:$B,"Eleven Labs",'כל ההוצאות'!$F:$F,"ספטמבר 2025")</f>
        <v/>
      </c>
      <c r="G8" s="43">
        <f>SUMIFS('כל ההוצאות'!$E:$E,'כל ההוצאות'!$B:$B,"Eleven Labs",'כל ההוצאות'!$F:$F,"ספטמבר 2025")</f>
        <v/>
      </c>
      <c r="H8" s="42">
        <f>SUMIFS('כל ההוצאות'!$D:$D,'כל ההוצאות'!$B:$B,"Eleven Labs",'כל ההוצאות'!$F:$F,"אוקטובר 2025")</f>
        <v/>
      </c>
      <c r="I8" s="43">
        <f>SUMIFS('כל ההוצאות'!$E:$E,'כל ההוצאות'!$B:$B,"Eleven Labs",'כל ההוצאות'!$F:$F,"אוקטובר 2025")</f>
        <v/>
      </c>
      <c r="J8" s="42">
        <f>SUMIFS('כל ההוצאות'!$D:$D,'כל ההוצאות'!$B:$B,"Eleven Labs",'כל ההוצאות'!$F:$F,"נובמבר 2025")</f>
        <v/>
      </c>
      <c r="K8" s="43">
        <f>SUMIFS('כל ההוצאות'!$E:$E,'כל ההוצאות'!$B:$B,"Eleven Labs",'כל ההוצאות'!$F:$F,"נובמבר 2025")</f>
        <v/>
      </c>
      <c r="L8" s="42">
        <f>SUMIFS('כל ההוצאות'!$D:$D,'כל ההוצאות'!$B:$B,"Eleven Labs",'כל ההוצאות'!$F:$F,"דצמבר 2025")</f>
        <v/>
      </c>
      <c r="M8" s="43">
        <f>SUMIFS('כל ההוצאות'!$E:$E,'כל ההוצאות'!$B:$B,"Eleven Labs",'כל ההוצאות'!$F:$F,"דצמבר 2025")</f>
        <v/>
      </c>
      <c r="N8" s="42">
        <f>SUMIFS('כל ההוצאות'!$D:$D,'כל ההוצאות'!$B:$B,"Eleven Labs",'כל ההוצאות'!$F:$F,"ינואר 2026")</f>
        <v/>
      </c>
      <c r="O8" s="43">
        <f>SUMIFS('כל ההוצאות'!$E:$E,'כל ההוצאות'!$B:$B,"Eleven Labs",'כל ההוצאות'!$F:$F,"ינואר 2026")</f>
        <v/>
      </c>
      <c r="P8" s="42">
        <f>SUMIFS('כל ההוצאות'!$D:$D,'כל ההוצאות'!$B:$B,"Eleven Labs",'כל ההוצאות'!$F:$F,"פברואר 2026")</f>
        <v/>
      </c>
      <c r="Q8" s="43">
        <f>SUMIFS('כל ההוצאות'!$E:$E,'כל ההוצאות'!$B:$B,"Eleven Labs",'כל ההוצאות'!$F:$F,"פברואר 2026")</f>
        <v/>
      </c>
      <c r="R8" s="42">
        <f>SUMIFS('כל ההוצאות'!$D:$D,'כל ההוצאות'!$B:$B,"Eleven Labs",'כל ההוצאות'!$F:$F,"מרץ 2026")</f>
        <v/>
      </c>
      <c r="S8" s="43">
        <f>SUMIFS('כל ההוצאות'!$E:$E,'כל ההוצאות'!$B:$B,"Eleven Labs",'כל ההוצאות'!$F:$F,"מרץ 2026")</f>
        <v/>
      </c>
      <c r="T8" s="42">
        <f>SUMIFS('כל ההוצאות'!$D:$D,'כל ההוצאות'!$B:$B,"Eleven Labs",'כל ההוצאות'!$F:$F,"אפריל 2026")</f>
        <v/>
      </c>
      <c r="U8" s="43">
        <f>SUMIFS('כל ההוצאות'!$E:$E,'כל ההוצאות'!$B:$B,"Eleven Labs",'כל ההוצאות'!$F:$F,"אפריל 2026")</f>
        <v/>
      </c>
      <c r="V8" s="42">
        <f>SUMIFS('כל ההוצאות'!$D:$D,'כל ההוצאות'!$B:$B,"Eleven Labs",'כל ההוצאות'!$F:$F,"מאי 2026")</f>
        <v/>
      </c>
      <c r="W8" s="43">
        <f>SUMIFS('כל ההוצאות'!$E:$E,'כל ההוצאות'!$B:$B,"Eleven Labs",'כל ההוצאות'!$F:$F,"מאי 2026")</f>
        <v/>
      </c>
      <c r="X8" s="42">
        <f>SUMIFS('כל ההוצאות'!$D:$D,'כל ההוצאות'!$B:$B,"Eleven Labs",'כל ההוצאות'!$F:$F,"יוני 2026")</f>
        <v/>
      </c>
      <c r="Y8" s="43">
        <f>SUMIFS('כל ההוצאות'!$E:$E,'כל ההוצאות'!$B:$B,"Eleven Labs",'כל ההוצאות'!$F:$F,"יוני 2026")</f>
        <v/>
      </c>
      <c r="Z8" s="42">
        <f>SUMIFS('כל ההוצאות'!$D:$D,'כל ההוצאות'!$B:$B,"Eleven Labs",'כל ההוצאות'!$F:$F,"יולי 2026")</f>
        <v/>
      </c>
      <c r="AA8" s="43">
        <f>SUMIFS('כל ההוצאות'!$E:$E,'כל ההוצאות'!$B:$B,"Eleven Labs",'כל ההוצאות'!$F:$F,"יולי 2026")</f>
        <v/>
      </c>
      <c r="AB8" s="42">
        <f>SUMIFS('כל ההוצאות'!$D:$D,'כל ההוצאות'!$B:$B,"Eleven Labs",'כל ההוצאות'!$F:$F,"אוגוסט 2026")</f>
        <v/>
      </c>
      <c r="AC8" s="43">
        <f>SUMIFS('כל ההוצאות'!$E:$E,'כל ההוצאות'!$B:$B,"Eleven Labs",'כל ההוצאות'!$F:$F,"אוגוסט 2026")</f>
        <v/>
      </c>
      <c r="AD8" s="42">
        <f>SUMIFS('כל ההוצאות'!$D:$D,'כל ההוצאות'!$B:$B,"Eleven Labs",'כל ההוצאות'!$F:$F,"ספטמבר 2026")</f>
        <v/>
      </c>
      <c r="AE8" s="43">
        <f>SUMIFS('כל ההוצאות'!$E:$E,'כל ההוצאות'!$B:$B,"Eleven Labs",'כל ההוצאות'!$F:$F,"ספטמבר 2026")</f>
        <v/>
      </c>
      <c r="AF8" s="42">
        <f>SUMIFS('כל ההוצאות'!$D:$D,'כל ההוצאות'!$B:$B,"Eleven Labs",'כל ההוצאות'!$F:$F,"אוקטובר 2026")</f>
        <v/>
      </c>
      <c r="AG8" s="43">
        <f>SUMIFS('כל ההוצאות'!$E:$E,'כל ההוצאות'!$B:$B,"Eleven Labs",'כל ההוצאות'!$F:$F,"אוקטובר 2026")</f>
        <v/>
      </c>
      <c r="AH8" s="42">
        <f>SUMIFS('כל ההוצאות'!$D:$D,'כל ההוצאות'!$B:$B,"Eleven Labs",'כל ההוצאות'!$F:$F,"נובמבר 2026")</f>
        <v/>
      </c>
      <c r="AI8" s="43">
        <f>SUMIFS('כל ההוצאות'!$E:$E,'כל ההוצאות'!$B:$B,"Eleven Labs",'כל ההוצאות'!$F:$F,"נובמבר 2026")</f>
        <v/>
      </c>
      <c r="AJ8" s="42">
        <f>SUMIFS('כל ההוצאות'!$D:$D,'כל ההוצאות'!$B:$B,"Eleven Labs",'כל ההוצאות'!$F:$F,"דצמבר 2026")</f>
        <v/>
      </c>
      <c r="AK8" s="43">
        <f>SUMIFS('כל ההוצאות'!$E:$E,'כל ההוצאות'!$B:$B,"Eleven Labs",'כל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SUMIFS('כל ההוצאות'!$E:$E,'כל ההוצאות'!$B:$B,"Genspark",'כל ההוצאות'!$F:$F,"יולי 2025")</f>
        <v/>
      </c>
      <c r="D9" s="37">
        <f>SUMIFS('כל ההוצאות'!$D:$D,'כל ההוצאות'!$B:$B,"Genspark",'כל ההוצאות'!$F:$F,"אוגוסט 2025")</f>
        <v/>
      </c>
      <c r="E9" s="38">
        <f>SUMIFS('כל ההוצאות'!$E:$E,'כל ההוצאות'!$B:$B,"Genspark",'כל ההוצאות'!$F:$F,"אוגוסט 2025")</f>
        <v/>
      </c>
      <c r="F9" s="37">
        <f>SUMIFS('כל ההוצאות'!$D:$D,'כל ההוצאות'!$B:$B,"Genspark",'כל ההוצאות'!$F:$F,"ספטמבר 2025")</f>
        <v/>
      </c>
      <c r="G9" s="38">
        <f>SUMIFS('כל ההוצאות'!$E:$E,'כל ההוצאות'!$B:$B,"Genspark",'כל ההוצאות'!$F:$F,"ספטמבר 2025")</f>
        <v/>
      </c>
      <c r="H9" s="37">
        <f>SUMIFS('כל ההוצאות'!$D:$D,'כל ההוצאות'!$B:$B,"Genspark",'כל ההוצאות'!$F:$F,"אוקטובר 2025")</f>
        <v/>
      </c>
      <c r="I9" s="38">
        <f>SUMIFS('כל ההוצאות'!$E:$E,'כל ההוצאות'!$B:$B,"Genspark",'כל ההוצאות'!$F:$F,"אוקטובר 2025")</f>
        <v/>
      </c>
      <c r="J9" s="37">
        <f>SUMIFS('כל ההוצאות'!$D:$D,'כל ההוצאות'!$B:$B,"Genspark",'כל ההוצאות'!$F:$F,"נובמבר 2025")</f>
        <v/>
      </c>
      <c r="K9" s="38">
        <f>SUMIFS('כל ההוצאות'!$E:$E,'כל ההוצאות'!$B:$B,"Genspark",'כל ההוצאות'!$F:$F,"נובמבר 2025")</f>
        <v/>
      </c>
      <c r="L9" s="37">
        <f>SUMIFS('כל ההוצאות'!$D:$D,'כל ההוצאות'!$B:$B,"Genspark",'כל ההוצאות'!$F:$F,"דצמבר 2025")</f>
        <v/>
      </c>
      <c r="M9" s="38">
        <f>SUMIFS('כל ההוצאות'!$E:$E,'כל ההוצאות'!$B:$B,"Genspark",'כל ההוצאות'!$F:$F,"דצמבר 2025")</f>
        <v/>
      </c>
      <c r="N9" s="37">
        <f>SUMIFS('כל ההוצאות'!$D:$D,'כל ההוצאות'!$B:$B,"Genspark",'כל ההוצאות'!$F:$F,"ינואר 2026")</f>
        <v/>
      </c>
      <c r="O9" s="38">
        <f>SUMIFS('כל ההוצאות'!$E:$E,'כל ההוצאות'!$B:$B,"Genspark",'כל ההוצאות'!$F:$F,"ינואר 2026")</f>
        <v/>
      </c>
      <c r="P9" s="37">
        <f>SUMIFS('כל ההוצאות'!$D:$D,'כל ההוצאות'!$B:$B,"Genspark",'כל ההוצאות'!$F:$F,"פברואר 2026")</f>
        <v/>
      </c>
      <c r="Q9" s="38">
        <f>SUMIFS('כל ההוצאות'!$E:$E,'כל ההוצאות'!$B:$B,"Genspark",'כל ההוצאות'!$F:$F,"פברואר 2026")</f>
        <v/>
      </c>
      <c r="R9" s="37">
        <f>SUMIFS('כל ההוצאות'!$D:$D,'כל ההוצאות'!$B:$B,"Genspark",'כל ההוצאות'!$F:$F,"מרץ 2026")</f>
        <v/>
      </c>
      <c r="S9" s="38">
        <f>SUMIFS('כל ההוצאות'!$E:$E,'כל ההוצאות'!$B:$B,"Genspark",'כל ההוצאות'!$F:$F,"מרץ 2026")</f>
        <v/>
      </c>
      <c r="T9" s="37">
        <f>SUMIFS('כל ההוצאות'!$D:$D,'כל ההוצאות'!$B:$B,"Genspark",'כל ההוצאות'!$F:$F,"אפריל 2026")</f>
        <v/>
      </c>
      <c r="U9" s="38">
        <f>SUMIFS('כל ההוצאות'!$E:$E,'כל ההוצאות'!$B:$B,"Genspark",'כל ההוצאות'!$F:$F,"אפריל 2026")</f>
        <v/>
      </c>
      <c r="V9" s="37">
        <f>SUMIFS('כל ההוצאות'!$D:$D,'כל ההוצאות'!$B:$B,"Genspark",'כל ההוצאות'!$F:$F,"מאי 2026")</f>
        <v/>
      </c>
      <c r="W9" s="38">
        <f>SUMIFS('כל ההוצאות'!$E:$E,'כל ההוצאות'!$B:$B,"Genspark",'כל ההוצאות'!$F:$F,"מאי 2026")</f>
        <v/>
      </c>
      <c r="X9" s="37">
        <f>SUMIFS('כל ההוצאות'!$D:$D,'כל ההוצאות'!$B:$B,"Genspark",'כל ההוצאות'!$F:$F,"יוני 2026")</f>
        <v/>
      </c>
      <c r="Y9" s="38">
        <f>SUMIFS('כל ההוצאות'!$E:$E,'כל ההוצאות'!$B:$B,"Genspark",'כל ההוצאות'!$F:$F,"יוני 2026")</f>
        <v/>
      </c>
      <c r="Z9" s="37">
        <f>SUMIFS('כל ההוצאות'!$D:$D,'כל ההוצאות'!$B:$B,"Genspark",'כל ההוצאות'!$F:$F,"יולי 2026")</f>
        <v/>
      </c>
      <c r="AA9" s="38">
        <f>SUMIFS('כל ההוצאות'!$E:$E,'כל ההוצאות'!$B:$B,"Genspark",'כל ההוצאות'!$F:$F,"יולי 2026")</f>
        <v/>
      </c>
      <c r="AB9" s="37">
        <f>SUMIFS('כל ההוצאות'!$D:$D,'כל ההוצאות'!$B:$B,"Genspark",'כל ההוצאות'!$F:$F,"אוגוסט 2026")</f>
        <v/>
      </c>
      <c r="AC9" s="38">
        <f>SUMIFS('כל ההוצאות'!$E:$E,'כל ההוצאות'!$B:$B,"Genspark",'כל ההוצאות'!$F:$F,"אוגוסט 2026")</f>
        <v/>
      </c>
      <c r="AD9" s="37">
        <f>SUMIFS('כל ההוצאות'!$D:$D,'כל ההוצאות'!$B:$B,"Genspark",'כל ההוצאות'!$F:$F,"ספטמבר 2026")</f>
        <v/>
      </c>
      <c r="AE9" s="38">
        <f>SUMIFS('כל ההוצאות'!$E:$E,'כל ההוצאות'!$B:$B,"Genspark",'כל ההוצאות'!$F:$F,"ספטמבר 2026")</f>
        <v/>
      </c>
      <c r="AF9" s="37">
        <f>SUMIFS('כל ההוצאות'!$D:$D,'כל ההוצאות'!$B:$B,"Genspark",'כל ההוצאות'!$F:$F,"אוקטובר 2026")</f>
        <v/>
      </c>
      <c r="AG9" s="38">
        <f>SUMIFS('כל ההוצאות'!$E:$E,'כל ההוצאות'!$B:$B,"Genspark",'כל ההוצאות'!$F:$F,"אוקטובר 2026")</f>
        <v/>
      </c>
      <c r="AH9" s="37">
        <f>SUMIFS('כל ההוצאות'!$D:$D,'כל ההוצאות'!$B:$B,"Genspark",'כל ההוצאות'!$F:$F,"נובמבר 2026")</f>
        <v/>
      </c>
      <c r="AI9" s="38">
        <f>SUMIFS('כל ההוצאות'!$E:$E,'כל ההוצאות'!$B:$B,"Genspark",'כל ההוצאות'!$F:$F,"נובמבר 2026")</f>
        <v/>
      </c>
      <c r="AJ9" s="37">
        <f>SUMIFS('כל ההוצאות'!$D:$D,'כל ההוצאות'!$B:$B,"Genspark",'כל ההוצאות'!$F:$F,"דצמבר 2026")</f>
        <v/>
      </c>
      <c r="AK9" s="38">
        <f>SUMIFS('כל ההוצאות'!$E:$E,'כל ההוצאות'!$B:$B,"Genspark",'כל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SUMIFS('כל ההוצאות'!$E:$E,'כל ההוצאות'!$B:$B,"Google Workspace",'כל ההוצאות'!$F:$F,"יולי 2025")</f>
        <v/>
      </c>
      <c r="D10" s="42">
        <f>SUMIFS('כל ההוצאות'!$D:$D,'כל ההוצאות'!$B:$B,"Google Workspace",'כל ההוצאות'!$F:$F,"אוגוסט 2025")</f>
        <v/>
      </c>
      <c r="E10" s="43">
        <f>SUMIFS('כל ההוצאות'!$E:$E,'כל ההוצאות'!$B:$B,"Google Workspace",'כל ההוצאות'!$F:$F,"אוגוסט 2025")</f>
        <v/>
      </c>
      <c r="F10" s="42">
        <f>SUMIFS('כל ההוצאות'!$D:$D,'כל ההוצאות'!$B:$B,"Google Workspace",'כל ההוצאות'!$F:$F,"ספטמבר 2025")</f>
        <v/>
      </c>
      <c r="G10" s="43">
        <f>SUMIFS('כל ההוצאות'!$E:$E,'כל ההוצאות'!$B:$B,"Google Workspace",'כל ההוצאות'!$F:$F,"ספטמבר 2025")</f>
        <v/>
      </c>
      <c r="H10" s="42">
        <f>SUMIFS('כל ההוצאות'!$D:$D,'כל ההוצאות'!$B:$B,"Google Workspace",'כל ההוצאות'!$F:$F,"אוקטובר 2025")</f>
        <v/>
      </c>
      <c r="I10" s="43">
        <f>SUMIFS('כל ההוצאות'!$E:$E,'כל ההוצאות'!$B:$B,"Google Workspace",'כל ההוצאות'!$F:$F,"אוקטובר 2025")</f>
        <v/>
      </c>
      <c r="J10" s="42">
        <f>SUMIFS('כל ההוצאות'!$D:$D,'כל ההוצאות'!$B:$B,"Google Workspace",'כל ההוצאות'!$F:$F,"נובמבר 2025")</f>
        <v/>
      </c>
      <c r="K10" s="43">
        <f>SUMIFS('כל ההוצאות'!$E:$E,'כל ההוצאות'!$B:$B,"Google Workspace",'כל ההוצאות'!$F:$F,"נובמבר 2025")</f>
        <v/>
      </c>
      <c r="L10" s="42">
        <f>SUMIFS('כל ההוצאות'!$D:$D,'כל ההוצאות'!$B:$B,"Google Workspace",'כל ההוצאות'!$F:$F,"דצמבר 2025")</f>
        <v/>
      </c>
      <c r="M10" s="43">
        <f>SUMIFS('כל ההוצאות'!$E:$E,'כל ההוצאות'!$B:$B,"Google Workspace",'כל ההוצאות'!$F:$F,"דצמבר 2025")</f>
        <v/>
      </c>
      <c r="N10" s="42">
        <f>SUMIFS('כל ההוצאות'!$D:$D,'כל ההוצאות'!$B:$B,"Google Workspace",'כל ההוצאות'!$F:$F,"ינואר 2026")</f>
        <v/>
      </c>
      <c r="O10" s="43">
        <f>SUMIFS('כל ההוצאות'!$E:$E,'כל ההוצאות'!$B:$B,"Google Workspace",'כל ההוצאות'!$F:$F,"ינואר 2026")</f>
        <v/>
      </c>
      <c r="P10" s="42">
        <f>SUMIFS('כל ההוצאות'!$D:$D,'כל ההוצאות'!$B:$B,"Google Workspace",'כל ההוצאות'!$F:$F,"פברואר 2026")</f>
        <v/>
      </c>
      <c r="Q10" s="43">
        <f>SUMIFS('כל ההוצאות'!$E:$E,'כל ההוצאות'!$B:$B,"Google Workspace",'כל ההוצאות'!$F:$F,"פברואר 2026")</f>
        <v/>
      </c>
      <c r="R10" s="42">
        <f>SUMIFS('כל ההוצאות'!$D:$D,'כל ההוצאות'!$B:$B,"Google Workspace",'כל ההוצאות'!$F:$F,"מרץ 2026")</f>
        <v/>
      </c>
      <c r="S10" s="43">
        <f>SUMIFS('כל ההוצאות'!$E:$E,'כל ההוצאות'!$B:$B,"Google Workspace",'כל ההוצאות'!$F:$F,"מרץ 2026")</f>
        <v/>
      </c>
      <c r="T10" s="42">
        <f>SUMIFS('כל ההוצאות'!$D:$D,'כל ההוצאות'!$B:$B,"Google Workspace",'כל ההוצאות'!$F:$F,"אפריל 2026")</f>
        <v/>
      </c>
      <c r="U10" s="43">
        <f>SUMIFS('כל ההוצאות'!$E:$E,'כל ההוצאות'!$B:$B,"Google Workspace",'כל ההוצאות'!$F:$F,"אפריל 2026")</f>
        <v/>
      </c>
      <c r="V10" s="42">
        <f>SUMIFS('כל ההוצאות'!$D:$D,'כל ההוצאות'!$B:$B,"Google Workspace",'כל ההוצאות'!$F:$F,"מאי 2026")</f>
        <v/>
      </c>
      <c r="W10" s="43">
        <f>SUMIFS('כל ההוצאות'!$E:$E,'כל ההוצאות'!$B:$B,"Google Workspace",'כל ההוצאות'!$F:$F,"מאי 2026")</f>
        <v/>
      </c>
      <c r="X10" s="42">
        <f>SUMIFS('כל ההוצאות'!$D:$D,'כל ההוצאות'!$B:$B,"Google Workspace",'כל ההוצאות'!$F:$F,"יוני 2026")</f>
        <v/>
      </c>
      <c r="Y10" s="43">
        <f>SUMIFS('כל ההוצאות'!$E:$E,'כל ההוצאות'!$B:$B,"Google Workspace",'כל ההוצאות'!$F:$F,"יוני 2026")</f>
        <v/>
      </c>
      <c r="Z10" s="42">
        <f>SUMIFS('כל ההוצאות'!$D:$D,'כל ההוצאות'!$B:$B,"Google Workspace",'כל ההוצאות'!$F:$F,"יולי 2026")</f>
        <v/>
      </c>
      <c r="AA10" s="43">
        <f>SUMIFS('כל ההוצאות'!$E:$E,'כל ההוצאות'!$B:$B,"Google Workspace",'כל ההוצאות'!$F:$F,"יולי 2026")</f>
        <v/>
      </c>
      <c r="AB10" s="42">
        <f>SUMIFS('כל ההוצאות'!$D:$D,'כל ההוצאות'!$B:$B,"Google Workspace",'כל ההוצאות'!$F:$F,"אוגוסט 2026")</f>
        <v/>
      </c>
      <c r="AC10" s="43">
        <f>SUMIFS('כל ההוצאות'!$E:$E,'כל ההוצאות'!$B:$B,"Google Workspace",'כל ההוצאות'!$F:$F,"אוגוסט 2026")</f>
        <v/>
      </c>
      <c r="AD10" s="42">
        <f>SUMIFS('כל ההוצאות'!$D:$D,'כל ההוצאות'!$B:$B,"Google Workspace",'כל ההוצאות'!$F:$F,"ספטמבר 2026")</f>
        <v/>
      </c>
      <c r="AE10" s="43">
        <f>SUMIFS('כל ההוצאות'!$E:$E,'כל ההוצאות'!$B:$B,"Google Workspace",'כל ההוצאות'!$F:$F,"ספטמבר 2026")</f>
        <v/>
      </c>
      <c r="AF10" s="42">
        <f>SUMIFS('כל ההוצאות'!$D:$D,'כל ההוצאות'!$B:$B,"Google Workspace",'כל ההוצאות'!$F:$F,"אוקטובר 2026")</f>
        <v/>
      </c>
      <c r="AG10" s="43">
        <f>SUMIFS('כל ההוצאות'!$E:$E,'כל ההוצאות'!$B:$B,"Google Workspace",'כל ההוצאות'!$F:$F,"אוקטובר 2026")</f>
        <v/>
      </c>
      <c r="AH10" s="42">
        <f>SUMIFS('כל ההוצאות'!$D:$D,'כל ההוצאות'!$B:$B,"Google Workspace",'כל ההוצאות'!$F:$F,"נובמבר 2026")</f>
        <v/>
      </c>
      <c r="AI10" s="43">
        <f>SUMIFS('כל ההוצאות'!$E:$E,'כל ההוצאות'!$B:$B,"Google Workspace",'כל ההוצאות'!$F:$F,"נובמבר 2026")</f>
        <v/>
      </c>
      <c r="AJ10" s="42">
        <f>SUMIFS('כל ההוצאות'!$D:$D,'כל ההוצאות'!$B:$B,"Google Workspace",'כל ההוצאות'!$F:$F,"דצמבר 2026")</f>
        <v/>
      </c>
      <c r="AK10" s="43">
        <f>SUMIFS('כל ההוצאות'!$E:$E,'כל ההוצאות'!$B:$B,"Google Workspace",'כל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SUMIFS('כל ההוצאות'!$E:$E,'כל ההוצאות'!$B:$B,"Hedra",'כל ההוצאות'!$F:$F,"יולי 2025")</f>
        <v/>
      </c>
      <c r="D11" s="37">
        <f>SUMIFS('כל ההוצאות'!$D:$D,'כל ההוצאות'!$B:$B,"Hedra",'כל ההוצאות'!$F:$F,"אוגוסט 2025")</f>
        <v/>
      </c>
      <c r="E11" s="38">
        <f>SUMIFS('כל ההוצאות'!$E:$E,'כל ההוצאות'!$B:$B,"Hedra",'כל ההוצאות'!$F:$F,"אוגוסט 2025")</f>
        <v/>
      </c>
      <c r="F11" s="37">
        <f>SUMIFS('כל ההוצאות'!$D:$D,'כל ההוצאות'!$B:$B,"Hedra",'כל ההוצאות'!$F:$F,"ספטמבר 2025")</f>
        <v/>
      </c>
      <c r="G11" s="38">
        <f>SUMIFS('כל ההוצאות'!$E:$E,'כל ההוצאות'!$B:$B,"Hedra",'כל ההוצאות'!$F:$F,"ספטמבר 2025")</f>
        <v/>
      </c>
      <c r="H11" s="37">
        <f>SUMIFS('כל ההוצאות'!$D:$D,'כל ההוצאות'!$B:$B,"Hedra",'כל ההוצאות'!$F:$F,"אוקטובר 2025")</f>
        <v/>
      </c>
      <c r="I11" s="38">
        <f>SUMIFS('כל ההוצאות'!$E:$E,'כל ההוצאות'!$B:$B,"Hedra",'כל ההוצאות'!$F:$F,"אוקטובר 2025")</f>
        <v/>
      </c>
      <c r="J11" s="37">
        <f>SUMIFS('כל ההוצאות'!$D:$D,'כל ההוצאות'!$B:$B,"Hedra",'כל ההוצאות'!$F:$F,"נובמבר 2025")</f>
        <v/>
      </c>
      <c r="K11" s="38">
        <f>SUMIFS('כל ההוצאות'!$E:$E,'כל ההוצאות'!$B:$B,"Hedra",'כל ההוצאות'!$F:$F,"נובמבר 2025")</f>
        <v/>
      </c>
      <c r="L11" s="37">
        <f>SUMIFS('כל ההוצאות'!$D:$D,'כל ההוצאות'!$B:$B,"Hedra",'כל ההוצאות'!$F:$F,"דצמבר 2025")</f>
        <v/>
      </c>
      <c r="M11" s="38">
        <f>SUMIFS('כל ההוצאות'!$E:$E,'כל ההוצאות'!$B:$B,"Hedra",'כל ההוצאות'!$F:$F,"דצמבר 2025")</f>
        <v/>
      </c>
      <c r="N11" s="37">
        <f>SUMIFS('כל ההוצאות'!$D:$D,'כל ההוצאות'!$B:$B,"Hedra",'כל ההוצאות'!$F:$F,"ינואר 2026")</f>
        <v/>
      </c>
      <c r="O11" s="38">
        <f>SUMIFS('כל ההוצאות'!$E:$E,'כל ההוצאות'!$B:$B,"Hedra",'כל ההוצאות'!$F:$F,"ינואר 2026")</f>
        <v/>
      </c>
      <c r="P11" s="37">
        <f>SUMIFS('כל ההוצאות'!$D:$D,'כל ההוצאות'!$B:$B,"Hedra",'כל ההוצאות'!$F:$F,"פברואר 2026")</f>
        <v/>
      </c>
      <c r="Q11" s="38">
        <f>SUMIFS('כל ההוצאות'!$E:$E,'כל ההוצאות'!$B:$B,"Hedra",'כל ההוצאות'!$F:$F,"פברואר 2026")</f>
        <v/>
      </c>
      <c r="R11" s="37">
        <f>SUMIFS('כל ההוצאות'!$D:$D,'כל ההוצאות'!$B:$B,"Hedra",'כל ההוצאות'!$F:$F,"מרץ 2026")</f>
        <v/>
      </c>
      <c r="S11" s="38">
        <f>SUMIFS('כל ההוצאות'!$E:$E,'כל ההוצאות'!$B:$B,"Hedra",'כל ההוצאות'!$F:$F,"מרץ 2026")</f>
        <v/>
      </c>
      <c r="T11" s="37">
        <f>SUMIFS('כל ההוצאות'!$D:$D,'כל ההוצאות'!$B:$B,"Hedra",'כל ההוצאות'!$F:$F,"אפריל 2026")</f>
        <v/>
      </c>
      <c r="U11" s="38">
        <f>SUMIFS('כל ההוצאות'!$E:$E,'כל ההוצאות'!$B:$B,"Hedra",'כל ההוצאות'!$F:$F,"אפריל 2026")</f>
        <v/>
      </c>
      <c r="V11" s="37">
        <f>SUMIFS('כל ההוצאות'!$D:$D,'כל ההוצאות'!$B:$B,"Hedra",'כל ההוצאות'!$F:$F,"מאי 2026")</f>
        <v/>
      </c>
      <c r="W11" s="38">
        <f>SUMIFS('כל ההוצאות'!$E:$E,'כל ההוצאות'!$B:$B,"Hedra",'כל ההוצאות'!$F:$F,"מאי 2026")</f>
        <v/>
      </c>
      <c r="X11" s="37">
        <f>SUMIFS('כל ההוצאות'!$D:$D,'כל ההוצאות'!$B:$B,"Hedra",'כל ההוצאות'!$F:$F,"יוני 2026")</f>
        <v/>
      </c>
      <c r="Y11" s="38">
        <f>SUMIFS('כל ההוצאות'!$E:$E,'כל ההוצאות'!$B:$B,"Hedra",'כל ההוצאות'!$F:$F,"יוני 2026")</f>
        <v/>
      </c>
      <c r="Z11" s="37">
        <f>SUMIFS('כל ההוצאות'!$D:$D,'כל ההוצאות'!$B:$B,"Hedra",'כל ההוצאות'!$F:$F,"יולי 2026")</f>
        <v/>
      </c>
      <c r="AA11" s="38">
        <f>SUMIFS('כל ההוצאות'!$E:$E,'כל ההוצאות'!$B:$B,"Hedra",'כל ההוצאות'!$F:$F,"יולי 2026")</f>
        <v/>
      </c>
      <c r="AB11" s="37">
        <f>SUMIFS('כל ההוצאות'!$D:$D,'כל ההוצאות'!$B:$B,"Hedra",'כל ההוצאות'!$F:$F,"אוגוסט 2026")</f>
        <v/>
      </c>
      <c r="AC11" s="38">
        <f>SUMIFS('כל ההוצאות'!$E:$E,'כל ההוצאות'!$B:$B,"Hedra",'כל ההוצאות'!$F:$F,"אוגוסט 2026")</f>
        <v/>
      </c>
      <c r="AD11" s="37">
        <f>SUMIFS('כל ההוצאות'!$D:$D,'כל ההוצאות'!$B:$B,"Hedra",'כל ההוצאות'!$F:$F,"ספטמבר 2026")</f>
        <v/>
      </c>
      <c r="AE11" s="38">
        <f>SUMIFS('כל ההוצאות'!$E:$E,'כל ההוצאות'!$B:$B,"Hedra",'כל ההוצאות'!$F:$F,"ספטמבר 2026")</f>
        <v/>
      </c>
      <c r="AF11" s="37">
        <f>SUMIFS('כל ההוצאות'!$D:$D,'כל ההוצאות'!$B:$B,"Hedra",'כל ההוצאות'!$F:$F,"אוקטובר 2026")</f>
        <v/>
      </c>
      <c r="AG11" s="38">
        <f>SUMIFS('כל ההוצאות'!$E:$E,'כל ההוצאות'!$B:$B,"Hedra",'כל ההוצאות'!$F:$F,"אוקטובר 2026")</f>
        <v/>
      </c>
      <c r="AH11" s="37">
        <f>SUMIFS('כל ההוצאות'!$D:$D,'כל ההוצאות'!$B:$B,"Hedra",'כל ההוצאות'!$F:$F,"נובמבר 2026")</f>
        <v/>
      </c>
      <c r="AI11" s="38">
        <f>SUMIFS('כל ההוצאות'!$E:$E,'כל ההוצאות'!$B:$B,"Hedra",'כל ההוצאות'!$F:$F,"נובמבר 2026")</f>
        <v/>
      </c>
      <c r="AJ11" s="37">
        <f>SUMIFS('כל ההוצאות'!$D:$D,'כל ההוצאות'!$B:$B,"Hedra",'כל ההוצאות'!$F:$F,"דצמבר 2026")</f>
        <v/>
      </c>
      <c r="AK11" s="38">
        <f>SUMIFS('כל ההוצאות'!$E:$E,'כל ההוצאות'!$B:$B,"Hedra",'כל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SUMIFS('כל ההוצאות'!$E:$E,'כל ההוצאות'!$B:$B,"Higgsfield",'כל ההוצאות'!$F:$F,"יולי 2025")</f>
        <v/>
      </c>
      <c r="D12" s="42">
        <f>SUMIFS('כל ההוצאות'!$D:$D,'כל ההוצאות'!$B:$B,"Higgsfield",'כל ההוצאות'!$F:$F,"אוגוסט 2025")</f>
        <v/>
      </c>
      <c r="E12" s="43">
        <f>SUMIFS('כל ההוצאות'!$E:$E,'כל ההוצאות'!$B:$B,"Higgsfield",'כל ההוצאות'!$F:$F,"אוגוסט 2025")</f>
        <v/>
      </c>
      <c r="F12" s="42">
        <f>SUMIFS('כל ההוצאות'!$D:$D,'כל ההוצאות'!$B:$B,"Higgsfield",'כל ההוצאות'!$F:$F,"ספטמבר 2025")</f>
        <v/>
      </c>
      <c r="G12" s="43">
        <f>SUMIFS('כל ההוצאות'!$E:$E,'כל ההוצאות'!$B:$B,"Higgsfield",'כל ההוצאות'!$F:$F,"ספטמבר 2025")</f>
        <v/>
      </c>
      <c r="H12" s="42">
        <f>SUMIFS('כל ההוצאות'!$D:$D,'כל ההוצאות'!$B:$B,"Higgsfield",'כל ההוצאות'!$F:$F,"אוקטובר 2025")</f>
        <v/>
      </c>
      <c r="I12" s="43">
        <f>SUMIFS('כל ההוצאות'!$E:$E,'כל ההוצאות'!$B:$B,"Higgsfield",'כל ההוצאות'!$F:$F,"אוקטובר 2025")</f>
        <v/>
      </c>
      <c r="J12" s="42">
        <f>SUMIFS('כל ההוצאות'!$D:$D,'כל ההוצאות'!$B:$B,"Higgsfield",'כל ההוצאות'!$F:$F,"נובמבר 2025")</f>
        <v/>
      </c>
      <c r="K12" s="43">
        <f>SUMIFS('כל ההוצאות'!$E:$E,'כל ההוצאות'!$B:$B,"Higgsfield",'כל ההוצאות'!$F:$F,"נובמבר 2025")</f>
        <v/>
      </c>
      <c r="L12" s="42">
        <f>SUMIFS('כל ההוצאות'!$D:$D,'כל ההוצאות'!$B:$B,"Higgsfield",'כל ההוצאות'!$F:$F,"דצמבר 2025")</f>
        <v/>
      </c>
      <c r="M12" s="43">
        <f>SUMIFS('כל ההוצאות'!$E:$E,'כל ההוצאות'!$B:$B,"Higgsfield",'כל ההוצאות'!$F:$F,"דצמבר 2025")</f>
        <v/>
      </c>
      <c r="N12" s="42">
        <f>SUMIFS('כל ההוצאות'!$D:$D,'כל ההוצאות'!$B:$B,"Higgsfield",'כל ההוצאות'!$F:$F,"ינואר 2026")</f>
        <v/>
      </c>
      <c r="O12" s="43">
        <f>SUMIFS('כל ההוצאות'!$E:$E,'כל ההוצאות'!$B:$B,"Higgsfield",'כל ההוצאות'!$F:$F,"ינואר 2026")</f>
        <v/>
      </c>
      <c r="P12" s="42">
        <f>SUMIFS('כל ההוצאות'!$D:$D,'כל ההוצאות'!$B:$B,"Higgsfield",'כל ההוצאות'!$F:$F,"פברואר 2026")</f>
        <v/>
      </c>
      <c r="Q12" s="43">
        <f>SUMIFS('כל ההוצאות'!$E:$E,'כל ההוצאות'!$B:$B,"Higgsfield",'כל ההוצאות'!$F:$F,"פברואר 2026")</f>
        <v/>
      </c>
      <c r="R12" s="42">
        <f>SUMIFS('כל ההוצאות'!$D:$D,'כל ההוצאות'!$B:$B,"Higgsfield",'כל ההוצאות'!$F:$F,"מרץ 2026")</f>
        <v/>
      </c>
      <c r="S12" s="43">
        <f>SUMIFS('כל ההוצאות'!$E:$E,'כל ההוצאות'!$B:$B,"Higgsfield",'כל ההוצאות'!$F:$F,"מרץ 2026")</f>
        <v/>
      </c>
      <c r="T12" s="42">
        <f>SUMIFS('כל ההוצאות'!$D:$D,'כל ההוצאות'!$B:$B,"Higgsfield",'כל ההוצאות'!$F:$F,"אפריל 2026")</f>
        <v/>
      </c>
      <c r="U12" s="43">
        <f>SUMIFS('כל ההוצאות'!$E:$E,'כל ההוצאות'!$B:$B,"Higgsfield",'כל ההוצאות'!$F:$F,"אפריל 2026")</f>
        <v/>
      </c>
      <c r="V12" s="42">
        <f>SUMIFS('כל ההוצאות'!$D:$D,'כל ההוצאות'!$B:$B,"Higgsfield",'כל ההוצאות'!$F:$F,"מאי 2026")</f>
        <v/>
      </c>
      <c r="W12" s="43">
        <f>SUMIFS('כל ההוצאות'!$E:$E,'כל ההוצאות'!$B:$B,"Higgsfield",'כל ההוצאות'!$F:$F,"מאי 2026")</f>
        <v/>
      </c>
      <c r="X12" s="42">
        <f>SUMIFS('כל ההוצאות'!$D:$D,'כל ההוצאות'!$B:$B,"Higgsfield",'כל ההוצאות'!$F:$F,"יוני 2026")</f>
        <v/>
      </c>
      <c r="Y12" s="43">
        <f>SUMIFS('כל ההוצאות'!$E:$E,'כל ההוצאות'!$B:$B,"Higgsfield",'כל ההוצאות'!$F:$F,"יוני 2026")</f>
        <v/>
      </c>
      <c r="Z12" s="42">
        <f>SUMIFS('כל ההוצאות'!$D:$D,'כל ההוצאות'!$B:$B,"Higgsfield",'כל ההוצאות'!$F:$F,"יולי 2026")</f>
        <v/>
      </c>
      <c r="AA12" s="43">
        <f>SUMIFS('כל ההוצאות'!$E:$E,'כל ההוצאות'!$B:$B,"Higgsfield",'כל ההוצאות'!$F:$F,"יולי 2026")</f>
        <v/>
      </c>
      <c r="AB12" s="42">
        <f>SUMIFS('כל ההוצאות'!$D:$D,'כל ההוצאות'!$B:$B,"Higgsfield",'כל ההוצאות'!$F:$F,"אוגוסט 2026")</f>
        <v/>
      </c>
      <c r="AC12" s="43">
        <f>SUMIFS('כל ההוצאות'!$E:$E,'כל ההוצאות'!$B:$B,"Higgsfield",'כל ההוצאות'!$F:$F,"אוגוסט 2026")</f>
        <v/>
      </c>
      <c r="AD12" s="42">
        <f>SUMIFS('כל ההוצאות'!$D:$D,'כל ההוצאות'!$B:$B,"Higgsfield",'כל ההוצאות'!$F:$F,"ספטמבר 2026")</f>
        <v/>
      </c>
      <c r="AE12" s="43">
        <f>SUMIFS('כל ההוצאות'!$E:$E,'כל ההוצאות'!$B:$B,"Higgsfield",'כל ההוצאות'!$F:$F,"ספטמבר 2026")</f>
        <v/>
      </c>
      <c r="AF12" s="42">
        <f>SUMIFS('כל ההוצאות'!$D:$D,'כל ההוצאות'!$B:$B,"Higgsfield",'כל ההוצאות'!$F:$F,"אוקטובר 2026")</f>
        <v/>
      </c>
      <c r="AG12" s="43">
        <f>SUMIFS('כל ההוצאות'!$E:$E,'כל ההוצאות'!$B:$B,"Higgsfield",'כל ההוצאות'!$F:$F,"אוקטובר 2026")</f>
        <v/>
      </c>
      <c r="AH12" s="42">
        <f>SUMIFS('כל ההוצאות'!$D:$D,'כל ההוצאות'!$B:$B,"Higgsfield",'כל ההוצאות'!$F:$F,"נובמבר 2026")</f>
        <v/>
      </c>
      <c r="AI12" s="43">
        <f>SUMIFS('כל ההוצאות'!$E:$E,'כל ההוצאות'!$B:$B,"Higgsfield",'כל ההוצאות'!$F:$F,"נובמבר 2026")</f>
        <v/>
      </c>
      <c r="AJ12" s="42">
        <f>SUMIFS('כל ההוצאות'!$D:$D,'כל ההוצאות'!$B:$B,"Higgsfield",'כל ההוצאות'!$F:$F,"דצמבר 2026")</f>
        <v/>
      </c>
      <c r="AK12" s="43">
        <f>SUMIFS('כל ההוצאות'!$E:$E,'כל ההוצאות'!$B:$B,"Higgsfield",'כל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SUMIFS('כל ההוצאות'!$E:$E,'כל ההוצאות'!$B:$B,"IONOS",'כל ההוצאות'!$F:$F,"יולי 2025")</f>
        <v/>
      </c>
      <c r="D13" s="37">
        <f>SUMIFS('כל ההוצאות'!$D:$D,'כל ההוצאות'!$B:$B,"IONOS",'כל ההוצאות'!$F:$F,"אוגוסט 2025")</f>
        <v/>
      </c>
      <c r="E13" s="38">
        <f>SUMIFS('כל ההוצאות'!$E:$E,'כל ההוצאות'!$B:$B,"IONOS",'כל ההוצאות'!$F:$F,"אוגוסט 2025")</f>
        <v/>
      </c>
      <c r="F13" s="37">
        <f>SUMIFS('כל ההוצאות'!$D:$D,'כל ההוצאות'!$B:$B,"IONOS",'כל ההוצאות'!$F:$F,"ספטמבר 2025")</f>
        <v/>
      </c>
      <c r="G13" s="38">
        <f>SUMIFS('כל ההוצאות'!$E:$E,'כל ההוצאות'!$B:$B,"IONOS",'כל ההוצאות'!$F:$F,"ספטמבר 2025")</f>
        <v/>
      </c>
      <c r="H13" s="37">
        <f>SUMIFS('כל ההוצאות'!$D:$D,'כל ההוצאות'!$B:$B,"IONOS",'כל ההוצאות'!$F:$F,"אוקטובר 2025")</f>
        <v/>
      </c>
      <c r="I13" s="38">
        <f>SUMIFS('כל ההוצאות'!$E:$E,'כל ההוצאות'!$B:$B,"IONOS",'כל ההוצאות'!$F:$F,"אוקטובר 2025")</f>
        <v/>
      </c>
      <c r="J13" s="37">
        <f>SUMIFS('כל ההוצאות'!$D:$D,'כל ההוצאות'!$B:$B,"IONOS",'כל ההוצאות'!$F:$F,"נובמבר 2025")</f>
        <v/>
      </c>
      <c r="K13" s="38">
        <f>SUMIFS('כל ההוצאות'!$E:$E,'כל ההוצאות'!$B:$B,"IONOS",'כל ההוצאות'!$F:$F,"נובמבר 2025")</f>
        <v/>
      </c>
      <c r="L13" s="37">
        <f>SUMIFS('כל ההוצאות'!$D:$D,'כל ההוצאות'!$B:$B,"IONOS",'כל ההוצאות'!$F:$F,"דצמבר 2025")</f>
        <v/>
      </c>
      <c r="M13" s="38">
        <f>SUMIFS('כל ההוצאות'!$E:$E,'כל ההוצאות'!$B:$B,"IONOS",'כל ההוצאות'!$F:$F,"דצמבר 2025")</f>
        <v/>
      </c>
      <c r="N13" s="37">
        <f>SUMIFS('כל ההוצאות'!$D:$D,'כל ההוצאות'!$B:$B,"IONOS",'כל ההוצאות'!$F:$F,"ינואר 2026")</f>
        <v/>
      </c>
      <c r="O13" s="38">
        <f>SUMIFS('כל ההוצאות'!$E:$E,'כל ההוצאות'!$B:$B,"IONOS",'כל ההוצאות'!$F:$F,"ינואר 2026")</f>
        <v/>
      </c>
      <c r="P13" s="37">
        <f>SUMIFS('כל ההוצאות'!$D:$D,'כל ההוצאות'!$B:$B,"IONOS",'כל ההוצאות'!$F:$F,"פברואר 2026")</f>
        <v/>
      </c>
      <c r="Q13" s="38">
        <f>SUMIFS('כל ההוצאות'!$E:$E,'כל ההוצאות'!$B:$B,"IONOS",'כל ההוצאות'!$F:$F,"פברואר 2026")</f>
        <v/>
      </c>
      <c r="R13" s="37">
        <f>SUMIFS('כל ההוצאות'!$D:$D,'כל ההוצאות'!$B:$B,"IONOS",'כל ההוצאות'!$F:$F,"מרץ 2026")</f>
        <v/>
      </c>
      <c r="S13" s="38">
        <f>SUMIFS('כל ההוצאות'!$E:$E,'כל ההוצאות'!$B:$B,"IONOS",'כל ההוצאות'!$F:$F,"מרץ 2026")</f>
        <v/>
      </c>
      <c r="T13" s="37">
        <f>SUMIFS('כל ההוצאות'!$D:$D,'כל ההוצאות'!$B:$B,"IONOS",'כל ההוצאות'!$F:$F,"אפריל 2026")</f>
        <v/>
      </c>
      <c r="U13" s="38">
        <f>SUMIFS('כל ההוצאות'!$E:$E,'כל ההוצאות'!$B:$B,"IONOS",'כל ההוצאות'!$F:$F,"אפריל 2026")</f>
        <v/>
      </c>
      <c r="V13" s="37">
        <f>SUMIFS('כל ההוצאות'!$D:$D,'כל ההוצאות'!$B:$B,"IONOS",'כל ההוצאות'!$F:$F,"מאי 2026")</f>
        <v/>
      </c>
      <c r="W13" s="38">
        <f>SUMIFS('כל ההוצאות'!$E:$E,'כל ההוצאות'!$B:$B,"IONOS",'כל ההוצאות'!$F:$F,"מאי 2026")</f>
        <v/>
      </c>
      <c r="X13" s="37">
        <f>SUMIFS('כל ההוצאות'!$D:$D,'כל ההוצאות'!$B:$B,"IONOS",'כל ההוצאות'!$F:$F,"יוני 2026")</f>
        <v/>
      </c>
      <c r="Y13" s="38">
        <f>SUMIFS('כל ההוצאות'!$E:$E,'כל ההוצאות'!$B:$B,"IONOS",'כל ההוצאות'!$F:$F,"יוני 2026")</f>
        <v/>
      </c>
      <c r="Z13" s="37">
        <f>SUMIFS('כל ההוצאות'!$D:$D,'כל ההוצאות'!$B:$B,"IONOS",'כל ההוצאות'!$F:$F,"יולי 2026")</f>
        <v/>
      </c>
      <c r="AA13" s="38">
        <f>SUMIFS('כל ההוצאות'!$E:$E,'כל ההוצאות'!$B:$B,"IONOS",'כל ההוצאות'!$F:$F,"יולי 2026")</f>
        <v/>
      </c>
      <c r="AB13" s="37">
        <f>SUMIFS('כל ההוצאות'!$D:$D,'כל ההוצאות'!$B:$B,"IONOS",'כל ההוצאות'!$F:$F,"אוגוסט 2026")</f>
        <v/>
      </c>
      <c r="AC13" s="38">
        <f>SUMIFS('כל ההוצאות'!$E:$E,'כל ההוצאות'!$B:$B,"IONOS",'כל ההוצאות'!$F:$F,"אוגוסט 2026")</f>
        <v/>
      </c>
      <c r="AD13" s="37">
        <f>SUMIFS('כל ההוצאות'!$D:$D,'כל ההוצאות'!$B:$B,"IONOS",'כל ההוצאות'!$F:$F,"ספטמבר 2026")</f>
        <v/>
      </c>
      <c r="AE13" s="38">
        <f>SUMIFS('כל ההוצאות'!$E:$E,'כל ההוצאות'!$B:$B,"IONOS",'כל ההוצאות'!$F:$F,"ספטמבר 2026")</f>
        <v/>
      </c>
      <c r="AF13" s="37">
        <f>SUMIFS('כל ההוצאות'!$D:$D,'כל ההוצאות'!$B:$B,"IONOS",'כל ההוצאות'!$F:$F,"אוקטובר 2026")</f>
        <v/>
      </c>
      <c r="AG13" s="38">
        <f>SUMIFS('כל ההוצאות'!$E:$E,'כל ההוצאות'!$B:$B,"IONOS",'כל ההוצאות'!$F:$F,"אוקטובר 2026")</f>
        <v/>
      </c>
      <c r="AH13" s="37">
        <f>SUMIFS('כל ההוצאות'!$D:$D,'כל ההוצאות'!$B:$B,"IONOS",'כל ההוצאות'!$F:$F,"נובמבר 2026")</f>
        <v/>
      </c>
      <c r="AI13" s="38">
        <f>SUMIFS('כל ההוצאות'!$E:$E,'כל ההוצאות'!$B:$B,"IONOS",'כל ההוצאות'!$F:$F,"נובמבר 2026")</f>
        <v/>
      </c>
      <c r="AJ13" s="37">
        <f>SUMIFS('כל ההוצאות'!$D:$D,'כל ההוצאות'!$B:$B,"IONOS",'כל ההוצאות'!$F:$F,"דצמבר 2026")</f>
        <v/>
      </c>
      <c r="AK13" s="38">
        <f>SUMIFS('כל ההוצאות'!$E:$E,'כל ההוצאות'!$B:$B,"IONOS",'כל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SUMIFS('כל ההוצאות'!$E:$E,'כל ההוצאות'!$B:$B,"Ideogram AI",'כל ההוצאות'!$F:$F,"יולי 2025")</f>
        <v/>
      </c>
      <c r="D14" s="42">
        <f>SUMIFS('כל ההוצאות'!$D:$D,'כל ההוצאות'!$B:$B,"Ideogram AI",'כל ההוצאות'!$F:$F,"אוגוסט 2025")</f>
        <v/>
      </c>
      <c r="E14" s="43">
        <f>SUMIFS('כל ההוצאות'!$E:$E,'כל ההוצאות'!$B:$B,"Ideogram AI",'כל ההוצאות'!$F:$F,"אוגוסט 2025")</f>
        <v/>
      </c>
      <c r="F14" s="42">
        <f>SUMIFS('כל ההוצאות'!$D:$D,'כל ההוצאות'!$B:$B,"Ideogram AI",'כל ההוצאות'!$F:$F,"ספטמבר 2025")</f>
        <v/>
      </c>
      <c r="G14" s="43">
        <f>SUMIFS('כל ההוצאות'!$E:$E,'כל ההוצאות'!$B:$B,"Ideogram AI",'כל ההוצאות'!$F:$F,"ספטמבר 2025")</f>
        <v/>
      </c>
      <c r="H14" s="42">
        <f>SUMIFS('כל ההוצאות'!$D:$D,'כל ההוצאות'!$B:$B,"Ideogram AI",'כל ההוצאות'!$F:$F,"אוקטובר 2025")</f>
        <v/>
      </c>
      <c r="I14" s="43">
        <f>SUMIFS('כל ההוצאות'!$E:$E,'כל ההוצאות'!$B:$B,"Ideogram AI",'כל ההוצאות'!$F:$F,"אוקטובר 2025")</f>
        <v/>
      </c>
      <c r="J14" s="42">
        <f>SUMIFS('כל ההוצאות'!$D:$D,'כל ההוצאות'!$B:$B,"Ideogram AI",'כל ההוצאות'!$F:$F,"נובמבר 2025")</f>
        <v/>
      </c>
      <c r="K14" s="43">
        <f>SUMIFS('כל ההוצאות'!$E:$E,'כל ההוצאות'!$B:$B,"Ideogram AI",'כל ההוצאות'!$F:$F,"נובמבר 2025")</f>
        <v/>
      </c>
      <c r="L14" s="42">
        <f>SUMIFS('כל ההוצאות'!$D:$D,'כל ההוצאות'!$B:$B,"Ideogram AI",'כל ההוצאות'!$F:$F,"דצמבר 2025")</f>
        <v/>
      </c>
      <c r="M14" s="43">
        <f>SUMIFS('כל ההוצאות'!$E:$E,'כל ההוצאות'!$B:$B,"Ideogram AI",'כל ההוצאות'!$F:$F,"דצמבר 2025")</f>
        <v/>
      </c>
      <c r="N14" s="42">
        <f>SUMIFS('כל ההוצאות'!$D:$D,'כל ההוצאות'!$B:$B,"Ideogram AI",'כל ההוצאות'!$F:$F,"ינואר 2026")</f>
        <v/>
      </c>
      <c r="O14" s="43">
        <f>SUMIFS('כל ההוצאות'!$E:$E,'כל ההוצאות'!$B:$B,"Ideogram AI",'כל ההוצאות'!$F:$F,"ינואר 2026")</f>
        <v/>
      </c>
      <c r="P14" s="42">
        <f>SUMIFS('כל ההוצאות'!$D:$D,'כל ההוצאות'!$B:$B,"Ideogram AI",'כל ההוצאות'!$F:$F,"פברואר 2026")</f>
        <v/>
      </c>
      <c r="Q14" s="43">
        <f>SUMIFS('כל ההוצאות'!$E:$E,'כל ההוצאות'!$B:$B,"Ideogram AI",'כל ההוצאות'!$F:$F,"פברואר 2026")</f>
        <v/>
      </c>
      <c r="R14" s="42">
        <f>SUMIFS('כל ההוצאות'!$D:$D,'כל ההוצאות'!$B:$B,"Ideogram AI",'כל ההוצאות'!$F:$F,"מרץ 2026")</f>
        <v/>
      </c>
      <c r="S14" s="43">
        <f>SUMIFS('כל ההוצאות'!$E:$E,'כל ההוצאות'!$B:$B,"Ideogram AI",'כל ההוצאות'!$F:$F,"מרץ 2026")</f>
        <v/>
      </c>
      <c r="T14" s="42">
        <f>SUMIFS('כל ההוצאות'!$D:$D,'כל ההוצאות'!$B:$B,"Ideogram AI",'כל ההוצאות'!$F:$F,"אפריל 2026")</f>
        <v/>
      </c>
      <c r="U14" s="43">
        <f>SUMIFS('כל ההוצאות'!$E:$E,'כל ההוצאות'!$B:$B,"Ideogram AI",'כל ההוצאות'!$F:$F,"אפריל 2026")</f>
        <v/>
      </c>
      <c r="V14" s="42">
        <f>SUMIFS('כל ההוצאות'!$D:$D,'כל ההוצאות'!$B:$B,"Ideogram AI",'כל ההוצאות'!$F:$F,"מאי 2026")</f>
        <v/>
      </c>
      <c r="W14" s="43">
        <f>SUMIFS('כל ההוצאות'!$E:$E,'כל ההוצאות'!$B:$B,"Ideogram AI",'כל ההוצאות'!$F:$F,"מאי 2026")</f>
        <v/>
      </c>
      <c r="X14" s="42">
        <f>SUMIFS('כל ההוצאות'!$D:$D,'כל ההוצאות'!$B:$B,"Ideogram AI",'כל ההוצאות'!$F:$F,"יוני 2026")</f>
        <v/>
      </c>
      <c r="Y14" s="43">
        <f>SUMIFS('כל ההוצאות'!$E:$E,'כל ההוצאות'!$B:$B,"Ideogram AI",'כל ההוצאות'!$F:$F,"יוני 2026")</f>
        <v/>
      </c>
      <c r="Z14" s="42">
        <f>SUMIFS('כל ההוצאות'!$D:$D,'כל ההוצאות'!$B:$B,"Ideogram AI",'כל ההוצאות'!$F:$F,"יולי 2026")</f>
        <v/>
      </c>
      <c r="AA14" s="43">
        <f>SUMIFS('כל ההוצאות'!$E:$E,'כל ההוצאות'!$B:$B,"Ideogram AI",'כל ההוצאות'!$F:$F,"יולי 2026")</f>
        <v/>
      </c>
      <c r="AB14" s="42">
        <f>SUMIFS('כל ההוצאות'!$D:$D,'כל ההוצאות'!$B:$B,"Ideogram AI",'כל ההוצאות'!$F:$F,"אוגוסט 2026")</f>
        <v/>
      </c>
      <c r="AC14" s="43">
        <f>SUMIFS('כל ההוצאות'!$E:$E,'כל ההוצאות'!$B:$B,"Ideogram AI",'כל ההוצאות'!$F:$F,"אוגוסט 2026")</f>
        <v/>
      </c>
      <c r="AD14" s="42">
        <f>SUMIFS('כל ההוצאות'!$D:$D,'כל ההוצאות'!$B:$B,"Ideogram AI",'כל ההוצאות'!$F:$F,"ספטמבר 2026")</f>
        <v/>
      </c>
      <c r="AE14" s="43">
        <f>SUMIFS('כל ההוצאות'!$E:$E,'כל ההוצאות'!$B:$B,"Ideogram AI",'כל ההוצאות'!$F:$F,"ספטמבר 2026")</f>
        <v/>
      </c>
      <c r="AF14" s="42">
        <f>SUMIFS('כל ההוצאות'!$D:$D,'כל ההוצאות'!$B:$B,"Ideogram AI",'כל ההוצאות'!$F:$F,"אוקטובר 2026")</f>
        <v/>
      </c>
      <c r="AG14" s="43">
        <f>SUMIFS('כל ההוצאות'!$E:$E,'כל ההוצאות'!$B:$B,"Ideogram AI",'כל ההוצאות'!$F:$F,"אוקטובר 2026")</f>
        <v/>
      </c>
      <c r="AH14" s="42">
        <f>SUMIFS('כל ההוצאות'!$D:$D,'כל ההוצאות'!$B:$B,"Ideogram AI",'כל ההוצאות'!$F:$F,"נובמבר 2026")</f>
        <v/>
      </c>
      <c r="AI14" s="43">
        <f>SUMIFS('כל ההוצאות'!$E:$E,'כל ההוצאות'!$B:$B,"Ideogram AI",'כל ההוצאות'!$F:$F,"נובמבר 2026")</f>
        <v/>
      </c>
      <c r="AJ14" s="42">
        <f>SUMIFS('כל ההוצאות'!$D:$D,'כל ההוצאות'!$B:$B,"Ideogram AI",'כל ההוצאות'!$F:$F,"דצמבר 2026")</f>
        <v/>
      </c>
      <c r="AK14" s="43">
        <f>SUMIFS('כל ההוצאות'!$E:$E,'כל ההוצאות'!$B:$B,"Ideogram AI",'כל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SUMIFS('כל ההוצאות'!$E:$E,'כל ההוצאות'!$B:$B,"Lovable",'כל ההוצאות'!$F:$F,"יולי 2025")</f>
        <v/>
      </c>
      <c r="D15" s="37">
        <f>SUMIFS('כל ההוצאות'!$D:$D,'כל ההוצאות'!$B:$B,"Lovable",'כל ההוצאות'!$F:$F,"אוגוסט 2025")</f>
        <v/>
      </c>
      <c r="E15" s="38">
        <f>SUMIFS('כל ההוצאות'!$E:$E,'כל ההוצאות'!$B:$B,"Lovable",'כל ההוצאות'!$F:$F,"אוגוסט 2025")</f>
        <v/>
      </c>
      <c r="F15" s="37">
        <f>SUMIFS('כל ההוצאות'!$D:$D,'כל ההוצאות'!$B:$B,"Lovable",'כל ההוצאות'!$F:$F,"ספטמבר 2025")</f>
        <v/>
      </c>
      <c r="G15" s="38">
        <f>SUMIFS('כל ההוצאות'!$E:$E,'כל ההוצאות'!$B:$B,"Lovable",'כל ההוצאות'!$F:$F,"ספטמבר 2025")</f>
        <v/>
      </c>
      <c r="H15" s="37">
        <f>SUMIFS('כל ההוצאות'!$D:$D,'כל ההוצאות'!$B:$B,"Lovable",'כל ההוצאות'!$F:$F,"אוקטובר 2025")</f>
        <v/>
      </c>
      <c r="I15" s="38">
        <f>SUMIFS('כל ההוצאות'!$E:$E,'כל ההוצאות'!$B:$B,"Lovable",'כל ההוצאות'!$F:$F,"אוקטובר 2025")</f>
        <v/>
      </c>
      <c r="J15" s="37">
        <f>SUMIFS('כל ההוצאות'!$D:$D,'כל ההוצאות'!$B:$B,"Lovable",'כל ההוצאות'!$F:$F,"נובמבר 2025")</f>
        <v/>
      </c>
      <c r="K15" s="38">
        <f>SUMIFS('כל ההוצאות'!$E:$E,'כל ההוצאות'!$B:$B,"Lovable",'כל ההוצאות'!$F:$F,"נובמבר 2025")</f>
        <v/>
      </c>
      <c r="L15" s="37">
        <f>SUMIFS('כל ההוצאות'!$D:$D,'כל ההוצאות'!$B:$B,"Lovable",'כל ההוצאות'!$F:$F,"דצמבר 2025")</f>
        <v/>
      </c>
      <c r="M15" s="38">
        <f>SUMIFS('כל ההוצאות'!$E:$E,'כל ההוצאות'!$B:$B,"Lovable",'כל ההוצאות'!$F:$F,"דצמבר 2025")</f>
        <v/>
      </c>
      <c r="N15" s="37">
        <f>SUMIFS('כל ההוצאות'!$D:$D,'כל ההוצאות'!$B:$B,"Lovable",'כל ההוצאות'!$F:$F,"ינואר 2026")</f>
        <v/>
      </c>
      <c r="O15" s="38">
        <f>SUMIFS('כל ההוצאות'!$E:$E,'כל ההוצאות'!$B:$B,"Lovable",'כל ההוצאות'!$F:$F,"ינואר 2026")</f>
        <v/>
      </c>
      <c r="P15" s="37">
        <f>SUMIFS('כל ההוצאות'!$D:$D,'כל ההוצאות'!$B:$B,"Lovable",'כל ההוצאות'!$F:$F,"פברואר 2026")</f>
        <v/>
      </c>
      <c r="Q15" s="38">
        <f>SUMIFS('כל ההוצאות'!$E:$E,'כל ההוצאות'!$B:$B,"Lovable",'כל ההוצאות'!$F:$F,"פברואר 2026")</f>
        <v/>
      </c>
      <c r="R15" s="37">
        <f>SUMIFS('כל ההוצאות'!$D:$D,'כל ההוצאות'!$B:$B,"Lovable",'כל ההוצאות'!$F:$F,"מרץ 2026")</f>
        <v/>
      </c>
      <c r="S15" s="38">
        <f>SUMIFS('כל ההוצאות'!$E:$E,'כל ההוצאות'!$B:$B,"Lovable",'כל ההוצאות'!$F:$F,"מרץ 2026")</f>
        <v/>
      </c>
      <c r="T15" s="37">
        <f>SUMIFS('כל ההוצאות'!$D:$D,'כל ההוצאות'!$B:$B,"Lovable",'כל ההוצאות'!$F:$F,"אפריל 2026")</f>
        <v/>
      </c>
      <c r="U15" s="38">
        <f>SUMIFS('כל ההוצאות'!$E:$E,'כל ההוצאות'!$B:$B,"Lovable",'כל ההוצאות'!$F:$F,"אפריל 2026")</f>
        <v/>
      </c>
      <c r="V15" s="37">
        <f>SUMIFS('כל ההוצאות'!$D:$D,'כל ההוצאות'!$B:$B,"Lovable",'כל ההוצאות'!$F:$F,"מאי 2026")</f>
        <v/>
      </c>
      <c r="W15" s="38">
        <f>SUMIFS('כל ההוצאות'!$E:$E,'כל ההוצאות'!$B:$B,"Lovable",'כל ההוצאות'!$F:$F,"מאי 2026")</f>
        <v/>
      </c>
      <c r="X15" s="37">
        <f>SUMIFS('כל ההוצאות'!$D:$D,'כל ההוצאות'!$B:$B,"Lovable",'כל ההוצאות'!$F:$F,"יוני 2026")</f>
        <v/>
      </c>
      <c r="Y15" s="38">
        <f>SUMIFS('כל ההוצאות'!$E:$E,'כל ההוצאות'!$B:$B,"Lovable",'כל ההוצאות'!$F:$F,"יוני 2026")</f>
        <v/>
      </c>
      <c r="Z15" s="37">
        <f>SUMIFS('כל ההוצאות'!$D:$D,'כל ההוצאות'!$B:$B,"Lovable",'כל ההוצאות'!$F:$F,"יולי 2026")</f>
        <v/>
      </c>
      <c r="AA15" s="38">
        <f>SUMIFS('כל ההוצאות'!$E:$E,'כל ההוצאות'!$B:$B,"Lovable",'כל ההוצאות'!$F:$F,"יולי 2026")</f>
        <v/>
      </c>
      <c r="AB15" s="37">
        <f>SUMIFS('כל ההוצאות'!$D:$D,'כל ההוצאות'!$B:$B,"Lovable",'כל ההוצאות'!$F:$F,"אוגוסט 2026")</f>
        <v/>
      </c>
      <c r="AC15" s="38">
        <f>SUMIFS('כל ההוצאות'!$E:$E,'כל ההוצאות'!$B:$B,"Lovable",'כל ההוצאות'!$F:$F,"אוגוסט 2026")</f>
        <v/>
      </c>
      <c r="AD15" s="37">
        <f>SUMIFS('כל ההוצאות'!$D:$D,'כל ההוצאות'!$B:$B,"Lovable",'כל ההוצאות'!$F:$F,"ספטמבר 2026")</f>
        <v/>
      </c>
      <c r="AE15" s="38">
        <f>SUMIFS('כל ההוצאות'!$E:$E,'כל ההוצאות'!$B:$B,"Lovable",'כל ההוצאות'!$F:$F,"ספטמבר 2026")</f>
        <v/>
      </c>
      <c r="AF15" s="37">
        <f>SUMIFS('כל ההוצאות'!$D:$D,'כל ההוצאות'!$B:$B,"Lovable",'כל ההוצאות'!$F:$F,"אוקטובר 2026")</f>
        <v/>
      </c>
      <c r="AG15" s="38">
        <f>SUMIFS('כל ההוצאות'!$E:$E,'כל ההוצאות'!$B:$B,"Lovable",'כל ההוצאות'!$F:$F,"אוקטובר 2026")</f>
        <v/>
      </c>
      <c r="AH15" s="37">
        <f>SUMIFS('כל ההוצאות'!$D:$D,'כל ההוצאות'!$B:$B,"Lovable",'כל ההוצאות'!$F:$F,"נובמבר 2026")</f>
        <v/>
      </c>
      <c r="AI15" s="38">
        <f>SUMIFS('כל ההוצאות'!$E:$E,'כל ההוצאות'!$B:$B,"Lovable",'כל ההוצאות'!$F:$F,"נובמבר 2026")</f>
        <v/>
      </c>
      <c r="AJ15" s="37">
        <f>SUMIFS('כל ההוצאות'!$D:$D,'כל ההוצאות'!$B:$B,"Lovable",'כל ההוצאות'!$F:$F,"דצמבר 2026")</f>
        <v/>
      </c>
      <c r="AK15" s="38">
        <f>SUMIFS('כל ההוצאות'!$E:$E,'כל ההוצאות'!$B:$B,"Lovable",'כל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SUMIFS('כל ההוצאות'!$E:$E,'כל ההוצאות'!$B:$B,"Make",'כל ההוצאות'!$F:$F,"יולי 2025")</f>
        <v/>
      </c>
      <c r="D16" s="42">
        <f>SUMIFS('כל ההוצאות'!$D:$D,'כל ההוצאות'!$B:$B,"Make",'כל ההוצאות'!$F:$F,"אוגוסט 2025")</f>
        <v/>
      </c>
      <c r="E16" s="43">
        <f>SUMIFS('כל ההוצאות'!$E:$E,'כל ההוצאות'!$B:$B,"Make",'כל ההוצאות'!$F:$F,"אוגוסט 2025")</f>
        <v/>
      </c>
      <c r="F16" s="42">
        <f>SUMIFS('כל ההוצאות'!$D:$D,'כל ההוצאות'!$B:$B,"Make",'כל ההוצאות'!$F:$F,"ספטמבר 2025")</f>
        <v/>
      </c>
      <c r="G16" s="43">
        <f>SUMIFS('כל ההוצאות'!$E:$E,'כל ההוצאות'!$B:$B,"Make",'כל ההוצאות'!$F:$F,"ספטמבר 2025")</f>
        <v/>
      </c>
      <c r="H16" s="42">
        <f>SUMIFS('כל ההוצאות'!$D:$D,'כל ההוצאות'!$B:$B,"Make",'כל ההוצאות'!$F:$F,"אוקטובר 2025")</f>
        <v/>
      </c>
      <c r="I16" s="43">
        <f>SUMIFS('כל ההוצאות'!$E:$E,'כל ההוצאות'!$B:$B,"Make",'כל ההוצאות'!$F:$F,"אוקטובר 2025")</f>
        <v/>
      </c>
      <c r="J16" s="42">
        <f>SUMIFS('כל ההוצאות'!$D:$D,'כל ההוצאות'!$B:$B,"Make",'כל ההוצאות'!$F:$F,"נובמבר 2025")</f>
        <v/>
      </c>
      <c r="K16" s="43">
        <f>SUMIFS('כל ההוצאות'!$E:$E,'כל ההוצאות'!$B:$B,"Make",'כל ההוצאות'!$F:$F,"נובמבר 2025")</f>
        <v/>
      </c>
      <c r="L16" s="42">
        <f>SUMIFS('כל ההוצאות'!$D:$D,'כל ההוצאות'!$B:$B,"Make",'כל ההוצאות'!$F:$F,"דצמבר 2025")</f>
        <v/>
      </c>
      <c r="M16" s="43">
        <f>SUMIFS('כל ההוצאות'!$E:$E,'כל ההוצאות'!$B:$B,"Make",'כל ההוצאות'!$F:$F,"דצמבר 2025")</f>
        <v/>
      </c>
      <c r="N16" s="42">
        <f>SUMIFS('כל ההוצאות'!$D:$D,'כל ההוצאות'!$B:$B,"Make",'כל ההוצאות'!$F:$F,"ינואר 2026")</f>
        <v/>
      </c>
      <c r="O16" s="43">
        <f>SUMIFS('כל ההוצאות'!$E:$E,'כל ההוצאות'!$B:$B,"Make",'כל ההוצאות'!$F:$F,"ינואר 2026")</f>
        <v/>
      </c>
      <c r="P16" s="42">
        <f>SUMIFS('כל ההוצאות'!$D:$D,'כל ההוצאות'!$B:$B,"Make",'כל ההוצאות'!$F:$F,"פברואר 2026")</f>
        <v/>
      </c>
      <c r="Q16" s="43">
        <f>SUMIFS('כל ההוצאות'!$E:$E,'כל ההוצאות'!$B:$B,"Make",'כל ההוצאות'!$F:$F,"פברואר 2026")</f>
        <v/>
      </c>
      <c r="R16" s="42">
        <f>SUMIFS('כל ההוצאות'!$D:$D,'כל ההוצאות'!$B:$B,"Make",'כל ההוצאות'!$F:$F,"מרץ 2026")</f>
        <v/>
      </c>
      <c r="S16" s="43">
        <f>SUMIFS('כל ההוצאות'!$E:$E,'כל ההוצאות'!$B:$B,"Make",'כל ההוצאות'!$F:$F,"מרץ 2026")</f>
        <v/>
      </c>
      <c r="T16" s="42">
        <f>SUMIFS('כל ההוצאות'!$D:$D,'כל ההוצאות'!$B:$B,"Make",'כל ההוצאות'!$F:$F,"אפריל 2026")</f>
        <v/>
      </c>
      <c r="U16" s="43">
        <f>SUMIFS('כל ההוצאות'!$E:$E,'כל ההוצאות'!$B:$B,"Make",'כל ההוצאות'!$F:$F,"אפריל 2026")</f>
        <v/>
      </c>
      <c r="V16" s="42">
        <f>SUMIFS('כל ההוצאות'!$D:$D,'כל ההוצאות'!$B:$B,"Make",'כל ההוצאות'!$F:$F,"מאי 2026")</f>
        <v/>
      </c>
      <c r="W16" s="43">
        <f>SUMIFS('כל ההוצאות'!$E:$E,'כל ההוצאות'!$B:$B,"Make",'כל ההוצאות'!$F:$F,"מאי 2026")</f>
        <v/>
      </c>
      <c r="X16" s="42">
        <f>SUMIFS('כל ההוצאות'!$D:$D,'כל ההוצאות'!$B:$B,"Make",'כל ההוצאות'!$F:$F,"יוני 2026")</f>
        <v/>
      </c>
      <c r="Y16" s="43">
        <f>SUMIFS('כל ההוצאות'!$E:$E,'כל ההוצאות'!$B:$B,"Make",'כל ההוצאות'!$F:$F,"יוני 2026")</f>
        <v/>
      </c>
      <c r="Z16" s="42">
        <f>SUMIFS('כל ההוצאות'!$D:$D,'כל ההוצאות'!$B:$B,"Make",'כל ההוצאות'!$F:$F,"יולי 2026")</f>
        <v/>
      </c>
      <c r="AA16" s="43">
        <f>SUMIFS('כל ההוצאות'!$E:$E,'כל ההוצאות'!$B:$B,"Make",'כל ההוצאות'!$F:$F,"יולי 2026")</f>
        <v/>
      </c>
      <c r="AB16" s="42">
        <f>SUMIFS('כל ההוצאות'!$D:$D,'כל ההוצאות'!$B:$B,"Make",'כל ההוצאות'!$F:$F,"אוגוסט 2026")</f>
        <v/>
      </c>
      <c r="AC16" s="43">
        <f>SUMIFS('כל ההוצאות'!$E:$E,'כל ההוצאות'!$B:$B,"Make",'כל ההוצאות'!$F:$F,"אוגוסט 2026")</f>
        <v/>
      </c>
      <c r="AD16" s="42">
        <f>SUMIFS('כל ההוצאות'!$D:$D,'כל ההוצאות'!$B:$B,"Make",'כל ההוצאות'!$F:$F,"ספטמבר 2026")</f>
        <v/>
      </c>
      <c r="AE16" s="43">
        <f>SUMIFS('כל ההוצאות'!$E:$E,'כל ההוצאות'!$B:$B,"Make",'כל ההוצאות'!$F:$F,"ספטמבר 2026")</f>
        <v/>
      </c>
      <c r="AF16" s="42">
        <f>SUMIFS('כל ההוצאות'!$D:$D,'כל ההוצאות'!$B:$B,"Make",'כל ההוצאות'!$F:$F,"אוקטובר 2026")</f>
        <v/>
      </c>
      <c r="AG16" s="43">
        <f>SUMIFS('כל ההוצאות'!$E:$E,'כל ההוצאות'!$B:$B,"Make",'כל ההוצאות'!$F:$F,"אוקטובר 2026")</f>
        <v/>
      </c>
      <c r="AH16" s="42">
        <f>SUMIFS('כל ההוצאות'!$D:$D,'כל ההוצאות'!$B:$B,"Make",'כל ההוצאות'!$F:$F,"נובמבר 2026")</f>
        <v/>
      </c>
      <c r="AI16" s="43">
        <f>SUMIFS('כל ההוצאות'!$E:$E,'כל ההוצאות'!$B:$B,"Make",'כל ההוצאות'!$F:$F,"נובמבר 2026")</f>
        <v/>
      </c>
      <c r="AJ16" s="42">
        <f>SUMIFS('כל ההוצאות'!$D:$D,'כל ההוצאות'!$B:$B,"Make",'כל ההוצאות'!$F:$F,"דצמבר 2026")</f>
        <v/>
      </c>
      <c r="AK16" s="43">
        <f>SUMIFS('כל ההוצאות'!$E:$E,'כל ההוצאות'!$B:$B,"Make",'כל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SUMIFS('כל ההוצאות'!$E:$E,'כל ההוצאות'!$B:$B,"Manus AI",'כל ההוצאות'!$F:$F,"יולי 2025")</f>
        <v/>
      </c>
      <c r="D17" s="37">
        <f>SUMIFS('כל ההוצאות'!$D:$D,'כל ההוצאות'!$B:$B,"Manus AI",'כל ההוצאות'!$F:$F,"אוגוסט 2025")</f>
        <v/>
      </c>
      <c r="E17" s="38">
        <f>SUMIFS('כל ההוצאות'!$E:$E,'כל ההוצאות'!$B:$B,"Manus AI",'כל ההוצאות'!$F:$F,"אוגוסט 2025")</f>
        <v/>
      </c>
      <c r="F17" s="37">
        <f>SUMIFS('כל ההוצאות'!$D:$D,'כל ההוצאות'!$B:$B,"Manus AI",'כל ההוצאות'!$F:$F,"ספטמבר 2025")</f>
        <v/>
      </c>
      <c r="G17" s="38">
        <f>SUMIFS('כל ההוצאות'!$E:$E,'כל ההוצאות'!$B:$B,"Manus AI",'כל ההוצאות'!$F:$F,"ספטמבר 2025")</f>
        <v/>
      </c>
      <c r="H17" s="37">
        <f>SUMIFS('כל ההוצאות'!$D:$D,'כל ההוצאות'!$B:$B,"Manus AI",'כל ההוצאות'!$F:$F,"אוקטובר 2025")</f>
        <v/>
      </c>
      <c r="I17" s="38">
        <f>SUMIFS('כל ההוצאות'!$E:$E,'כל ההוצאות'!$B:$B,"Manus AI",'כל ההוצאות'!$F:$F,"אוקטובר 2025")</f>
        <v/>
      </c>
      <c r="J17" s="37">
        <f>SUMIFS('כל ההוצאות'!$D:$D,'כל ההוצאות'!$B:$B,"Manus AI",'כל ההוצאות'!$F:$F,"נובמבר 2025")</f>
        <v/>
      </c>
      <c r="K17" s="38">
        <f>SUMIFS('כל ההוצאות'!$E:$E,'כל ההוצאות'!$B:$B,"Manus AI",'כל ההוצאות'!$F:$F,"נובמבר 2025")</f>
        <v/>
      </c>
      <c r="L17" s="37">
        <f>SUMIFS('כל ההוצאות'!$D:$D,'כל ההוצאות'!$B:$B,"Manus AI",'כל ההוצאות'!$F:$F,"דצמבר 2025")</f>
        <v/>
      </c>
      <c r="M17" s="38">
        <f>SUMIFS('כל ההוצאות'!$E:$E,'כל ההוצאות'!$B:$B,"Manus AI",'כל ההוצאות'!$F:$F,"דצמבר 2025")</f>
        <v/>
      </c>
      <c r="N17" s="37">
        <f>SUMIFS('כל ההוצאות'!$D:$D,'כל ההוצאות'!$B:$B,"Manus AI",'כל ההוצאות'!$F:$F,"ינואר 2026")</f>
        <v/>
      </c>
      <c r="O17" s="38">
        <f>SUMIFS('כל ההוצאות'!$E:$E,'כל ההוצאות'!$B:$B,"Manus AI",'כל ההוצאות'!$F:$F,"ינואר 2026")</f>
        <v/>
      </c>
      <c r="P17" s="37">
        <f>SUMIFS('כל ההוצאות'!$D:$D,'כל ההוצאות'!$B:$B,"Manus AI",'כל ההוצאות'!$F:$F,"פברואר 2026")</f>
        <v/>
      </c>
      <c r="Q17" s="38">
        <f>SUMIFS('כל ההוצאות'!$E:$E,'כל ההוצאות'!$B:$B,"Manus AI",'כל ההוצאות'!$F:$F,"פברואר 2026")</f>
        <v/>
      </c>
      <c r="R17" s="37">
        <f>SUMIFS('כל ההוצאות'!$D:$D,'כל ההוצאות'!$B:$B,"Manus AI",'כל ההוצאות'!$F:$F,"מרץ 2026")</f>
        <v/>
      </c>
      <c r="S17" s="38">
        <f>SUMIFS('כל ההוצאות'!$E:$E,'כל ההוצאות'!$B:$B,"Manus AI",'כל ההוצאות'!$F:$F,"מרץ 2026")</f>
        <v/>
      </c>
      <c r="T17" s="37">
        <f>SUMIFS('כל ההוצאות'!$D:$D,'כל ההוצאות'!$B:$B,"Manus AI",'כל ההוצאות'!$F:$F,"אפריל 2026")</f>
        <v/>
      </c>
      <c r="U17" s="38">
        <f>SUMIFS('כל ההוצאות'!$E:$E,'כל ההוצאות'!$B:$B,"Manus AI",'כל ההוצאות'!$F:$F,"אפריל 2026")</f>
        <v/>
      </c>
      <c r="V17" s="37">
        <f>SUMIFS('כל ההוצאות'!$D:$D,'כל ההוצאות'!$B:$B,"Manus AI",'כל ההוצאות'!$F:$F,"מאי 2026")</f>
        <v/>
      </c>
      <c r="W17" s="38">
        <f>SUMIFS('כל ההוצאות'!$E:$E,'כל ההוצאות'!$B:$B,"Manus AI",'כל ההוצאות'!$F:$F,"מאי 2026")</f>
        <v/>
      </c>
      <c r="X17" s="37">
        <f>SUMIFS('כל ההוצאות'!$D:$D,'כל ההוצאות'!$B:$B,"Manus AI",'כל ההוצאות'!$F:$F,"יוני 2026")</f>
        <v/>
      </c>
      <c r="Y17" s="38">
        <f>SUMIFS('כל ההוצאות'!$E:$E,'כל ההוצאות'!$B:$B,"Manus AI",'כל ההוצאות'!$F:$F,"יוני 2026")</f>
        <v/>
      </c>
      <c r="Z17" s="37">
        <f>SUMIFS('כל ההוצאות'!$D:$D,'כל ההוצאות'!$B:$B,"Manus AI",'כל ההוצאות'!$F:$F,"יולי 2026")</f>
        <v/>
      </c>
      <c r="AA17" s="38">
        <f>SUMIFS('כל ההוצאות'!$E:$E,'כל ההוצאות'!$B:$B,"Manus AI",'כל ההוצאות'!$F:$F,"יולי 2026")</f>
        <v/>
      </c>
      <c r="AB17" s="37">
        <f>SUMIFS('כל ההוצאות'!$D:$D,'כל ההוצאות'!$B:$B,"Manus AI",'כל ההוצאות'!$F:$F,"אוגוסט 2026")</f>
        <v/>
      </c>
      <c r="AC17" s="38">
        <f>SUMIFS('כל ההוצאות'!$E:$E,'כל ההוצאות'!$B:$B,"Manus AI",'כל ההוצאות'!$F:$F,"אוגוסט 2026")</f>
        <v/>
      </c>
      <c r="AD17" s="37">
        <f>SUMIFS('כל ההוצאות'!$D:$D,'כל ההוצאות'!$B:$B,"Manus AI",'כל ההוצאות'!$F:$F,"ספטמבר 2026")</f>
        <v/>
      </c>
      <c r="AE17" s="38">
        <f>SUMIFS('כל ההוצאות'!$E:$E,'כל ההוצאות'!$B:$B,"Manus AI",'כל ההוצאות'!$F:$F,"ספטמבר 2026")</f>
        <v/>
      </c>
      <c r="AF17" s="37">
        <f>SUMIFS('כל ההוצאות'!$D:$D,'כל ההוצאות'!$B:$B,"Manus AI",'כל ההוצאות'!$F:$F,"אוקטובר 2026")</f>
        <v/>
      </c>
      <c r="AG17" s="38">
        <f>SUMIFS('כל ההוצאות'!$E:$E,'כל ההוצאות'!$B:$B,"Manus AI",'כל ההוצאות'!$F:$F,"אוקטובר 2026")</f>
        <v/>
      </c>
      <c r="AH17" s="37">
        <f>SUMIFS('כל ההוצאות'!$D:$D,'כל ההוצאות'!$B:$B,"Manus AI",'כל ההוצאות'!$F:$F,"נובמבר 2026")</f>
        <v/>
      </c>
      <c r="AI17" s="38">
        <f>SUMIFS('כל ההוצאות'!$E:$E,'כל ההוצאות'!$B:$B,"Manus AI",'כל ההוצאות'!$F:$F,"נובמבר 2026")</f>
        <v/>
      </c>
      <c r="AJ17" s="37">
        <f>SUMIFS('כל ההוצאות'!$D:$D,'כל ההוצאות'!$B:$B,"Manus AI",'כל ההוצאות'!$F:$F,"דצמבר 2026")</f>
        <v/>
      </c>
      <c r="AK17" s="38">
        <f>SUMIFS('כל ההוצאות'!$E:$E,'כל ההוצאות'!$B:$B,"Manus AI",'כל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SUMIFS('כל ההוצאות'!$E:$E,'כל ההוצאות'!$B:$B,"Manychat",'כל ההוצאות'!$F:$F,"יולי 2025")</f>
        <v/>
      </c>
      <c r="D18" s="42">
        <f>SUMIFS('כל ההוצאות'!$D:$D,'כל ההוצאות'!$B:$B,"Manychat",'כל ההוצאות'!$F:$F,"אוגוסט 2025")</f>
        <v/>
      </c>
      <c r="E18" s="43">
        <f>SUMIFS('כל ההוצאות'!$E:$E,'כל ההוצאות'!$B:$B,"Manychat",'כל ההוצאות'!$F:$F,"אוגוסט 2025")</f>
        <v/>
      </c>
      <c r="F18" s="42">
        <f>SUMIFS('כל ההוצאות'!$D:$D,'כל ההוצאות'!$B:$B,"Manychat",'כל ההוצאות'!$F:$F,"ספטמבר 2025")</f>
        <v/>
      </c>
      <c r="G18" s="43">
        <f>SUMIFS('כל ההוצאות'!$E:$E,'כל ההוצאות'!$B:$B,"Manychat",'כל ההוצאות'!$F:$F,"ספטמבר 2025")</f>
        <v/>
      </c>
      <c r="H18" s="42">
        <f>SUMIFS('כל ההוצאות'!$D:$D,'כל ההוצאות'!$B:$B,"Manychat",'כל ההוצאות'!$F:$F,"אוקטובר 2025")</f>
        <v/>
      </c>
      <c r="I18" s="43">
        <f>SUMIFS('כל ההוצאות'!$E:$E,'כל ההוצאות'!$B:$B,"Manychat",'כל ההוצאות'!$F:$F,"אוקטובר 2025")</f>
        <v/>
      </c>
      <c r="J18" s="42">
        <f>SUMIFS('כל ההוצאות'!$D:$D,'כל ההוצאות'!$B:$B,"Manychat",'כל ההוצאות'!$F:$F,"נובמבר 2025")</f>
        <v/>
      </c>
      <c r="K18" s="43">
        <f>SUMIFS('כל ההוצאות'!$E:$E,'כל ההוצאות'!$B:$B,"Manychat",'כל ההוצאות'!$F:$F,"נובמבר 2025")</f>
        <v/>
      </c>
      <c r="L18" s="42">
        <f>SUMIFS('כל ההוצאות'!$D:$D,'כל ההוצאות'!$B:$B,"Manychat",'כל ההוצאות'!$F:$F,"דצמבר 2025")</f>
        <v/>
      </c>
      <c r="M18" s="43">
        <f>SUMIFS('כל ההוצאות'!$E:$E,'כל ההוצאות'!$B:$B,"Manychat",'כל ההוצאות'!$F:$F,"דצמבר 2025")</f>
        <v/>
      </c>
      <c r="N18" s="42">
        <f>SUMIFS('כל ההוצאות'!$D:$D,'כל ההוצאות'!$B:$B,"Manychat",'כל ההוצאות'!$F:$F,"ינואר 2026")</f>
        <v/>
      </c>
      <c r="O18" s="43">
        <f>SUMIFS('כל ההוצאות'!$E:$E,'כל ההוצאות'!$B:$B,"Manychat",'כל ההוצאות'!$F:$F,"ינואר 2026")</f>
        <v/>
      </c>
      <c r="P18" s="42">
        <f>SUMIFS('כל ההוצאות'!$D:$D,'כל ההוצאות'!$B:$B,"Manychat",'כל ההוצאות'!$F:$F,"פברואר 2026")</f>
        <v/>
      </c>
      <c r="Q18" s="43">
        <f>SUMIFS('כל ההוצאות'!$E:$E,'כל ההוצאות'!$B:$B,"Manychat",'כל ההוצאות'!$F:$F,"פברואר 2026")</f>
        <v/>
      </c>
      <c r="R18" s="42">
        <f>SUMIFS('כל ההוצאות'!$D:$D,'כל ההוצאות'!$B:$B,"Manychat",'כל ההוצאות'!$F:$F,"מרץ 2026")</f>
        <v/>
      </c>
      <c r="S18" s="43">
        <f>SUMIFS('כל ההוצאות'!$E:$E,'כל ההוצאות'!$B:$B,"Manychat",'כל ההוצאות'!$F:$F,"מרץ 2026")</f>
        <v/>
      </c>
      <c r="T18" s="42">
        <f>SUMIFS('כל ההוצאות'!$D:$D,'כל ההוצאות'!$B:$B,"Manychat",'כל ההוצאות'!$F:$F,"אפריל 2026")</f>
        <v/>
      </c>
      <c r="U18" s="43">
        <f>SUMIFS('כל ההוצאות'!$E:$E,'כל ההוצאות'!$B:$B,"Manychat",'כל ההוצאות'!$F:$F,"אפריל 2026")</f>
        <v/>
      </c>
      <c r="V18" s="42">
        <f>SUMIFS('כל ההוצאות'!$D:$D,'כל ההוצאות'!$B:$B,"Manychat",'כל ההוצאות'!$F:$F,"מאי 2026")</f>
        <v/>
      </c>
      <c r="W18" s="43">
        <f>SUMIFS('כל ההוצאות'!$E:$E,'כל ההוצאות'!$B:$B,"Manychat",'כל ההוצאות'!$F:$F,"מאי 2026")</f>
        <v/>
      </c>
      <c r="X18" s="42">
        <f>SUMIFS('כל ההוצאות'!$D:$D,'כל ההוצאות'!$B:$B,"Manychat",'כל ההוצאות'!$F:$F,"יוני 2026")</f>
        <v/>
      </c>
      <c r="Y18" s="43">
        <f>SUMIFS('כל ההוצאות'!$E:$E,'כל ההוצאות'!$B:$B,"Manychat",'כל ההוצאות'!$F:$F,"יוני 2026")</f>
        <v/>
      </c>
      <c r="Z18" s="42">
        <f>SUMIFS('כל ההוצאות'!$D:$D,'כל ההוצאות'!$B:$B,"Manychat",'כל ההוצאות'!$F:$F,"יולי 2026")</f>
        <v/>
      </c>
      <c r="AA18" s="43">
        <f>SUMIFS('כל ההוצאות'!$E:$E,'כל ההוצאות'!$B:$B,"Manychat",'כל ההוצאות'!$F:$F,"יולי 2026")</f>
        <v/>
      </c>
      <c r="AB18" s="42">
        <f>SUMIFS('כל ההוצאות'!$D:$D,'כל ההוצאות'!$B:$B,"Manychat",'כל ההוצאות'!$F:$F,"אוגוסט 2026")</f>
        <v/>
      </c>
      <c r="AC18" s="43">
        <f>SUMIFS('כל ההוצאות'!$E:$E,'כל ההוצאות'!$B:$B,"Manychat",'כל ההוצאות'!$F:$F,"אוגוסט 2026")</f>
        <v/>
      </c>
      <c r="AD18" s="42">
        <f>SUMIFS('כל ההוצאות'!$D:$D,'כל ההוצאות'!$B:$B,"Manychat",'כל ההוצאות'!$F:$F,"ספטמבר 2026")</f>
        <v/>
      </c>
      <c r="AE18" s="43">
        <f>SUMIFS('כל ההוצאות'!$E:$E,'כל ההוצאות'!$B:$B,"Manychat",'כל ההוצאות'!$F:$F,"ספטמבר 2026")</f>
        <v/>
      </c>
      <c r="AF18" s="42">
        <f>SUMIFS('כל ההוצאות'!$D:$D,'כל ההוצאות'!$B:$B,"Manychat",'כל ההוצאות'!$F:$F,"אוקטובר 2026")</f>
        <v/>
      </c>
      <c r="AG18" s="43">
        <f>SUMIFS('כל ההוצאות'!$E:$E,'כל ההוצאות'!$B:$B,"Manychat",'כל ההוצאות'!$F:$F,"אוקטובר 2026")</f>
        <v/>
      </c>
      <c r="AH18" s="42">
        <f>SUMIFS('כל ההוצאות'!$D:$D,'כל ההוצאות'!$B:$B,"Manychat",'כל ההוצאות'!$F:$F,"נובמבר 2026")</f>
        <v/>
      </c>
      <c r="AI18" s="43">
        <f>SUMIFS('כל ההוצאות'!$E:$E,'כל ההוצאות'!$B:$B,"Manychat",'כל ההוצאות'!$F:$F,"נובמבר 2026")</f>
        <v/>
      </c>
      <c r="AJ18" s="42">
        <f>SUMIFS('כל ההוצאות'!$D:$D,'כל ההוצאות'!$B:$B,"Manychat",'כל ההוצאות'!$F:$F,"דצמבר 2026")</f>
        <v/>
      </c>
      <c r="AK18" s="43">
        <f>SUMIFS('כל ההוצאות'!$E:$E,'כל ההוצאות'!$B:$B,"Manychat",'כל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SUMIFS('כל ההוצאות'!$E:$E,'כל ההוצאות'!$B:$B,"Meta (Ads)",'כל ההוצאות'!$F:$F,"יולי 2025")</f>
        <v/>
      </c>
      <c r="D19" s="37">
        <f>SUMIFS('כל ההוצאות'!$D:$D,'כל ההוצאות'!$B:$B,"Meta (Ads)",'כל ההוצאות'!$F:$F,"אוגוסט 2025")</f>
        <v/>
      </c>
      <c r="E19" s="38">
        <f>SUMIFS('כל ההוצאות'!$E:$E,'כל ההוצאות'!$B:$B,"Meta (Ads)",'כל ההוצאות'!$F:$F,"אוגוסט 2025")</f>
        <v/>
      </c>
      <c r="F19" s="37">
        <f>SUMIFS('כל ההוצאות'!$D:$D,'כל ההוצאות'!$B:$B,"Meta (Ads)",'כל ההוצאות'!$F:$F,"ספטמבר 2025")</f>
        <v/>
      </c>
      <c r="G19" s="38">
        <f>SUMIFS('כל ההוצאות'!$E:$E,'כל ההוצאות'!$B:$B,"Meta (Ads)",'כל ההוצאות'!$F:$F,"ספטמבר 2025")</f>
        <v/>
      </c>
      <c r="H19" s="37">
        <f>SUMIFS('כל ההוצאות'!$D:$D,'כל ההוצאות'!$B:$B,"Meta (Ads)",'כל ההוצאות'!$F:$F,"אוקטובר 2025")</f>
        <v/>
      </c>
      <c r="I19" s="38">
        <f>SUMIFS('כל ההוצאות'!$E:$E,'כל ההוצאות'!$B:$B,"Meta (Ads)",'כל ההוצאות'!$F:$F,"אוקטובר 2025")</f>
        <v/>
      </c>
      <c r="J19" s="37">
        <f>SUMIFS('כל ההוצאות'!$D:$D,'כל ההוצאות'!$B:$B,"Meta (Ads)",'כל ההוצאות'!$F:$F,"נובמבר 2025")</f>
        <v/>
      </c>
      <c r="K19" s="38">
        <f>SUMIFS('כל ההוצאות'!$E:$E,'כל ההוצאות'!$B:$B,"Meta (Ads)",'כל ההוצאות'!$F:$F,"נובמבר 2025")</f>
        <v/>
      </c>
      <c r="L19" s="37">
        <f>SUMIFS('כל ההוצאות'!$D:$D,'כל ההוצאות'!$B:$B,"Meta (Ads)",'כל ההוצאות'!$F:$F,"דצמבר 2025")</f>
        <v/>
      </c>
      <c r="M19" s="38">
        <f>SUMIFS('כל ההוצאות'!$E:$E,'כל ההוצאות'!$B:$B,"Meta (Ads)",'כל ההוצאות'!$F:$F,"דצמבר 2025")</f>
        <v/>
      </c>
      <c r="N19" s="37">
        <f>SUMIFS('כל ההוצאות'!$D:$D,'כל ההוצאות'!$B:$B,"Meta (Ads)",'כל ההוצאות'!$F:$F,"ינואר 2026")</f>
        <v/>
      </c>
      <c r="O19" s="38">
        <f>SUMIFS('כל ההוצאות'!$E:$E,'כל ההוצאות'!$B:$B,"Meta (Ads)",'כל ההוצאות'!$F:$F,"ינואר 2026")</f>
        <v/>
      </c>
      <c r="P19" s="37">
        <f>SUMIFS('כל ההוצאות'!$D:$D,'כל ההוצאות'!$B:$B,"Meta (Ads)",'כל ההוצאות'!$F:$F,"פברואר 2026")</f>
        <v/>
      </c>
      <c r="Q19" s="38">
        <f>SUMIFS('כל ההוצאות'!$E:$E,'כל ההוצאות'!$B:$B,"Meta (Ads)",'כל ההוצאות'!$F:$F,"פברואר 2026")</f>
        <v/>
      </c>
      <c r="R19" s="37">
        <f>SUMIFS('כל ההוצאות'!$D:$D,'כל ההוצאות'!$B:$B,"Meta (Ads)",'כל ההוצאות'!$F:$F,"מרץ 2026")</f>
        <v/>
      </c>
      <c r="S19" s="38">
        <f>SUMIFS('כל ההוצאות'!$E:$E,'כל ההוצאות'!$B:$B,"Meta (Ads)",'כל ההוצאות'!$F:$F,"מרץ 2026")</f>
        <v/>
      </c>
      <c r="T19" s="37">
        <f>SUMIFS('כל ההוצאות'!$D:$D,'כל ההוצאות'!$B:$B,"Meta (Ads)",'כל ההוצאות'!$F:$F,"אפריל 2026")</f>
        <v/>
      </c>
      <c r="U19" s="38">
        <f>SUMIFS('כל ההוצאות'!$E:$E,'כל ההוצאות'!$B:$B,"Meta (Ads)",'כל ההוצאות'!$F:$F,"אפריל 2026")</f>
        <v/>
      </c>
      <c r="V19" s="37">
        <f>SUMIFS('כל ההוצאות'!$D:$D,'כל ההוצאות'!$B:$B,"Meta (Ads)",'כל ההוצאות'!$F:$F,"מאי 2026")</f>
        <v/>
      </c>
      <c r="W19" s="38">
        <f>SUMIFS('כל ההוצאות'!$E:$E,'כל ההוצאות'!$B:$B,"Meta (Ads)",'כל ההוצאות'!$F:$F,"מאי 2026")</f>
        <v/>
      </c>
      <c r="X19" s="37">
        <f>SUMIFS('כל ההוצאות'!$D:$D,'כל ההוצאות'!$B:$B,"Meta (Ads)",'כל ההוצאות'!$F:$F,"יוני 2026")</f>
        <v/>
      </c>
      <c r="Y19" s="38">
        <f>SUMIFS('כל ההוצאות'!$E:$E,'כל ההוצאות'!$B:$B,"Meta (Ads)",'כל ההוצאות'!$F:$F,"יוני 2026")</f>
        <v/>
      </c>
      <c r="Z19" s="37">
        <f>SUMIFS('כל ההוצאות'!$D:$D,'כל ההוצאות'!$B:$B,"Meta (Ads)",'כל ההוצאות'!$F:$F,"יולי 2026")</f>
        <v/>
      </c>
      <c r="AA19" s="38">
        <f>SUMIFS('כל ההוצאות'!$E:$E,'כל ההוצאות'!$B:$B,"Meta (Ads)",'כל ההוצאות'!$F:$F,"יולי 2026")</f>
        <v/>
      </c>
      <c r="AB19" s="37">
        <f>SUMIFS('כל ההוצאות'!$D:$D,'כל ההוצאות'!$B:$B,"Meta (Ads)",'כל ההוצאות'!$F:$F,"אוגוסט 2026")</f>
        <v/>
      </c>
      <c r="AC19" s="38">
        <f>SUMIFS('כל ההוצאות'!$E:$E,'כל ההוצאות'!$B:$B,"Meta (Ads)",'כל ההוצאות'!$F:$F,"אוגוסט 2026")</f>
        <v/>
      </c>
      <c r="AD19" s="37">
        <f>SUMIFS('כל ההוצאות'!$D:$D,'כל ההוצאות'!$B:$B,"Meta (Ads)",'כל ההוצאות'!$F:$F,"ספטמבר 2026")</f>
        <v/>
      </c>
      <c r="AE19" s="38">
        <f>SUMIFS('כל ההוצאות'!$E:$E,'כל ההוצאות'!$B:$B,"Meta (Ads)",'כל ההוצאות'!$F:$F,"ספטמבר 2026")</f>
        <v/>
      </c>
      <c r="AF19" s="37">
        <f>SUMIFS('כל ההוצאות'!$D:$D,'כל ההוצאות'!$B:$B,"Meta (Ads)",'כל ההוצאות'!$F:$F,"אוקטובר 2026")</f>
        <v/>
      </c>
      <c r="AG19" s="38">
        <f>SUMIFS('כל ההוצאות'!$E:$E,'כל ההוצאות'!$B:$B,"Meta (Ads)",'כל ההוצאות'!$F:$F,"אוקטובר 2026")</f>
        <v/>
      </c>
      <c r="AH19" s="37">
        <f>SUMIFS('כל ההוצאות'!$D:$D,'כל ההוצאות'!$B:$B,"Meta (Ads)",'כל ההוצאות'!$F:$F,"נובמבר 2026")</f>
        <v/>
      </c>
      <c r="AI19" s="38">
        <f>SUMIFS('כל ההוצאות'!$E:$E,'כל ההוצאות'!$B:$B,"Meta (Ads)",'כל ההוצאות'!$F:$F,"נובמבר 2026")</f>
        <v/>
      </c>
      <c r="AJ19" s="37">
        <f>SUMIFS('כל ההוצאות'!$D:$D,'כל ההוצאות'!$B:$B,"Meta (Ads)",'כל ההוצאות'!$F:$F,"דצמבר 2026")</f>
        <v/>
      </c>
      <c r="AK19" s="38">
        <f>SUMIFS('כל ההוצאות'!$E:$E,'כל ההוצאות'!$B:$B,"Meta (Ads)",'כל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SUMIFS('כל ההוצאות'!$E:$E,'כל ההוצאות'!$B:$B,"OpenAI",'כל ההוצאות'!$F:$F,"יולי 2025")</f>
        <v/>
      </c>
      <c r="D20" s="42">
        <f>SUMIFS('כל ההוצאות'!$D:$D,'כל ההוצאות'!$B:$B,"OpenAI",'כל ההוצאות'!$F:$F,"אוגוסט 2025")</f>
        <v/>
      </c>
      <c r="E20" s="43">
        <f>SUMIFS('כל ההוצאות'!$E:$E,'כל ההוצאות'!$B:$B,"OpenAI",'כל ההוצאות'!$F:$F,"אוגוסט 2025")</f>
        <v/>
      </c>
      <c r="F20" s="42">
        <f>SUMIFS('כל ההוצאות'!$D:$D,'כל ההוצאות'!$B:$B,"OpenAI",'כל ההוצאות'!$F:$F,"ספטמבר 2025")</f>
        <v/>
      </c>
      <c r="G20" s="43">
        <f>SUMIFS('כל ההוצאות'!$E:$E,'כל ההוצאות'!$B:$B,"OpenAI",'כל ההוצאות'!$F:$F,"ספטמבר 2025")</f>
        <v/>
      </c>
      <c r="H20" s="42">
        <f>SUMIFS('כל ההוצאות'!$D:$D,'כל ההוצאות'!$B:$B,"OpenAI",'כל ההוצאות'!$F:$F,"אוקטובר 2025")</f>
        <v/>
      </c>
      <c r="I20" s="43">
        <f>SUMIFS('כל ההוצאות'!$E:$E,'כל ההוצאות'!$B:$B,"OpenAI",'כל ההוצאות'!$F:$F,"אוקטובר 2025")</f>
        <v/>
      </c>
      <c r="J20" s="42">
        <f>SUMIFS('כל ההוצאות'!$D:$D,'כל ההוצאות'!$B:$B,"OpenAI",'כל ההוצאות'!$F:$F,"נובמבר 2025")</f>
        <v/>
      </c>
      <c r="K20" s="43">
        <f>SUMIFS('כל ההוצאות'!$E:$E,'כל ההוצאות'!$B:$B,"OpenAI",'כל ההוצאות'!$F:$F,"נובמבר 2025")</f>
        <v/>
      </c>
      <c r="L20" s="42">
        <f>SUMIFS('כל ההוצאות'!$D:$D,'כל ההוצאות'!$B:$B,"OpenAI",'כל ההוצאות'!$F:$F,"דצמבר 2025")</f>
        <v/>
      </c>
      <c r="M20" s="43">
        <f>SUMIFS('כל ההוצאות'!$E:$E,'כל ההוצאות'!$B:$B,"OpenAI",'כל ההוצאות'!$F:$F,"דצמבר 2025")</f>
        <v/>
      </c>
      <c r="N20" s="42">
        <f>SUMIFS('כל ההוצאות'!$D:$D,'כל ההוצאות'!$B:$B,"OpenAI",'כל ההוצאות'!$F:$F,"ינואר 2026")</f>
        <v/>
      </c>
      <c r="O20" s="43">
        <f>SUMIFS('כל ההוצאות'!$E:$E,'כל ההוצאות'!$B:$B,"OpenAI",'כל ההוצאות'!$F:$F,"ינואר 2026")</f>
        <v/>
      </c>
      <c r="P20" s="42">
        <f>SUMIFS('כל ההוצאות'!$D:$D,'כל ההוצאות'!$B:$B,"OpenAI",'כל ההוצאות'!$F:$F,"פברואר 2026")</f>
        <v/>
      </c>
      <c r="Q20" s="43">
        <f>SUMIFS('כל ההוצאות'!$E:$E,'כל ההוצאות'!$B:$B,"OpenAI",'כל ההוצאות'!$F:$F,"פברואר 2026")</f>
        <v/>
      </c>
      <c r="R20" s="42">
        <f>SUMIFS('כל ההוצאות'!$D:$D,'כל ההוצאות'!$B:$B,"OpenAI",'כל ההוצאות'!$F:$F,"מרץ 2026")</f>
        <v/>
      </c>
      <c r="S20" s="43">
        <f>SUMIFS('כל ההוצאות'!$E:$E,'כל ההוצאות'!$B:$B,"OpenAI",'כל ההוצאות'!$F:$F,"מרץ 2026")</f>
        <v/>
      </c>
      <c r="T20" s="42">
        <f>SUMIFS('כל ההוצאות'!$D:$D,'כל ההוצאות'!$B:$B,"OpenAI",'כל ההוצאות'!$F:$F,"אפריל 2026")</f>
        <v/>
      </c>
      <c r="U20" s="43">
        <f>SUMIFS('כל ההוצאות'!$E:$E,'כל ההוצאות'!$B:$B,"OpenAI",'כל ההוצאות'!$F:$F,"אפריל 2026")</f>
        <v/>
      </c>
      <c r="V20" s="42">
        <f>SUMIFS('כל ההוצאות'!$D:$D,'כל ההוצאות'!$B:$B,"OpenAI",'כל ההוצאות'!$F:$F,"מאי 2026")</f>
        <v/>
      </c>
      <c r="W20" s="43">
        <f>SUMIFS('כל ההוצאות'!$E:$E,'כל ההוצאות'!$B:$B,"OpenAI",'כל ההוצאות'!$F:$F,"מאי 2026")</f>
        <v/>
      </c>
      <c r="X20" s="42">
        <f>SUMIFS('כל ההוצאות'!$D:$D,'כל ההוצאות'!$B:$B,"OpenAI",'כל ההוצאות'!$F:$F,"יוני 2026")</f>
        <v/>
      </c>
      <c r="Y20" s="43">
        <f>SUMIFS('כל ההוצאות'!$E:$E,'כל ההוצאות'!$B:$B,"OpenAI",'כל ההוצאות'!$F:$F,"יוני 2026")</f>
        <v/>
      </c>
      <c r="Z20" s="42">
        <f>SUMIFS('כל ההוצאות'!$D:$D,'כל ההוצאות'!$B:$B,"OpenAI",'כל ההוצאות'!$F:$F,"יולי 2026")</f>
        <v/>
      </c>
      <c r="AA20" s="43">
        <f>SUMIFS('כל ההוצאות'!$E:$E,'כל ההוצאות'!$B:$B,"OpenAI",'כל ההוצאות'!$F:$F,"יולי 2026")</f>
        <v/>
      </c>
      <c r="AB20" s="42">
        <f>SUMIFS('כל ההוצאות'!$D:$D,'כל ההוצאות'!$B:$B,"OpenAI",'כל ההוצאות'!$F:$F,"אוגוסט 2026")</f>
        <v/>
      </c>
      <c r="AC20" s="43">
        <f>SUMIFS('כל ההוצאות'!$E:$E,'כל ההוצאות'!$B:$B,"OpenAI",'כל ההוצאות'!$F:$F,"אוגוסט 2026")</f>
        <v/>
      </c>
      <c r="AD20" s="42">
        <f>SUMIFS('כל ההוצאות'!$D:$D,'כל ההוצאות'!$B:$B,"OpenAI",'כל ההוצאות'!$F:$F,"ספטמבר 2026")</f>
        <v/>
      </c>
      <c r="AE20" s="43">
        <f>SUMIFS('כל ההוצאות'!$E:$E,'כל ההוצאות'!$B:$B,"OpenAI",'כל ההוצאות'!$F:$F,"ספטמבר 2026")</f>
        <v/>
      </c>
      <c r="AF20" s="42">
        <f>SUMIFS('כל ההוצאות'!$D:$D,'כל ההוצאות'!$B:$B,"OpenAI",'כל ההוצאות'!$F:$F,"אוקטובר 2026")</f>
        <v/>
      </c>
      <c r="AG20" s="43">
        <f>SUMIFS('כל ההוצאות'!$E:$E,'כל ההוצאות'!$B:$B,"OpenAI",'כל ההוצאות'!$F:$F,"אוקטובר 2026")</f>
        <v/>
      </c>
      <c r="AH20" s="42">
        <f>SUMIFS('כל ההוצאות'!$D:$D,'כל ההוצאות'!$B:$B,"OpenAI",'כל ההוצאות'!$F:$F,"נובמבר 2026")</f>
        <v/>
      </c>
      <c r="AI20" s="43">
        <f>SUMIFS('כל ההוצאות'!$E:$E,'כל ההוצאות'!$B:$B,"OpenAI",'כל ההוצאות'!$F:$F,"נובמבר 2026")</f>
        <v/>
      </c>
      <c r="AJ20" s="42">
        <f>SUMIFS('כל ההוצאות'!$D:$D,'כל ההוצאות'!$B:$B,"OpenAI",'כל ההוצאות'!$F:$F,"דצמבר 2026")</f>
        <v/>
      </c>
      <c r="AK20" s="43">
        <f>SUMIFS('כל ההוצאות'!$E:$E,'כל ההוצאות'!$B:$B,"OpenAI",'כל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SUMIFS('כל ההוצאות'!$E:$E,'כל ההוצאות'!$B:$B,"Recraft",'כל ההוצאות'!$F:$F,"יולי 2025")</f>
        <v/>
      </c>
      <c r="D21" s="37">
        <f>SUMIFS('כל ההוצאות'!$D:$D,'כל ההוצאות'!$B:$B,"Recraft",'כל ההוצאות'!$F:$F,"אוגוסט 2025")</f>
        <v/>
      </c>
      <c r="E21" s="38">
        <f>SUMIFS('כל ההוצאות'!$E:$E,'כל ההוצאות'!$B:$B,"Recraft",'כל ההוצאות'!$F:$F,"אוגוסט 2025")</f>
        <v/>
      </c>
      <c r="F21" s="37">
        <f>SUMIFS('כל ההוצאות'!$D:$D,'כל ההוצאות'!$B:$B,"Recraft",'כל ההוצאות'!$F:$F,"ספטמבר 2025")</f>
        <v/>
      </c>
      <c r="G21" s="38">
        <f>SUMIFS('כל ההוצאות'!$E:$E,'כל ההוצאות'!$B:$B,"Recraft",'כל ההוצאות'!$F:$F,"ספטמבר 2025")</f>
        <v/>
      </c>
      <c r="H21" s="37">
        <f>SUMIFS('כל ההוצאות'!$D:$D,'כל ההוצאות'!$B:$B,"Recraft",'כל ההוצאות'!$F:$F,"אוקטובר 2025")</f>
        <v/>
      </c>
      <c r="I21" s="38">
        <f>SUMIFS('כל ההוצאות'!$E:$E,'כל ההוצאות'!$B:$B,"Recraft",'כל ההוצאות'!$F:$F,"אוקטובר 2025")</f>
        <v/>
      </c>
      <c r="J21" s="37">
        <f>SUMIFS('כל ההוצאות'!$D:$D,'כל ההוצאות'!$B:$B,"Recraft",'כל ההוצאות'!$F:$F,"נובמבר 2025")</f>
        <v/>
      </c>
      <c r="K21" s="38">
        <f>SUMIFS('כל ההוצאות'!$E:$E,'כל ההוצאות'!$B:$B,"Recraft",'כל ההוצאות'!$F:$F,"נובמבר 2025")</f>
        <v/>
      </c>
      <c r="L21" s="37">
        <f>SUMIFS('כל ההוצאות'!$D:$D,'כל ההוצאות'!$B:$B,"Recraft",'כל ההוצאות'!$F:$F,"דצמבר 2025")</f>
        <v/>
      </c>
      <c r="M21" s="38">
        <f>SUMIFS('כל ההוצאות'!$E:$E,'כל ההוצאות'!$B:$B,"Recraft",'כל ההוצאות'!$F:$F,"דצמבר 2025")</f>
        <v/>
      </c>
      <c r="N21" s="37">
        <f>SUMIFS('כל ההוצאות'!$D:$D,'כל ההוצאות'!$B:$B,"Recraft",'כל ההוצאות'!$F:$F,"ינואר 2026")</f>
        <v/>
      </c>
      <c r="O21" s="38">
        <f>SUMIFS('כל ההוצאות'!$E:$E,'כל ההוצאות'!$B:$B,"Recraft",'כל ההוצאות'!$F:$F,"ינואר 2026")</f>
        <v/>
      </c>
      <c r="P21" s="37">
        <f>SUMIFS('כל ההוצאות'!$D:$D,'כל ההוצאות'!$B:$B,"Recraft",'כל ההוצאות'!$F:$F,"פברואר 2026")</f>
        <v/>
      </c>
      <c r="Q21" s="38">
        <f>SUMIFS('כל ההוצאות'!$E:$E,'כל ההוצאות'!$B:$B,"Recraft",'כל ההוצאות'!$F:$F,"פברואר 2026")</f>
        <v/>
      </c>
      <c r="R21" s="37">
        <f>SUMIFS('כל ההוצאות'!$D:$D,'כל ההוצאות'!$B:$B,"Recraft",'כל ההוצאות'!$F:$F,"מרץ 2026")</f>
        <v/>
      </c>
      <c r="S21" s="38">
        <f>SUMIFS('כל ההוצאות'!$E:$E,'כל ההוצאות'!$B:$B,"Recraft",'כל ההוצאות'!$F:$F,"מרץ 2026")</f>
        <v/>
      </c>
      <c r="T21" s="37">
        <f>SUMIFS('כל ההוצאות'!$D:$D,'כל ההוצאות'!$B:$B,"Recraft",'כל ההוצאות'!$F:$F,"אפריל 2026")</f>
        <v/>
      </c>
      <c r="U21" s="38">
        <f>SUMIFS('כל ההוצאות'!$E:$E,'כל ההוצאות'!$B:$B,"Recraft",'כל ההוצאות'!$F:$F,"אפריל 2026")</f>
        <v/>
      </c>
      <c r="V21" s="37">
        <f>SUMIFS('כל ההוצאות'!$D:$D,'כל ההוצאות'!$B:$B,"Recraft",'כל ההוצאות'!$F:$F,"מאי 2026")</f>
        <v/>
      </c>
      <c r="W21" s="38">
        <f>SUMIFS('כל ההוצאות'!$E:$E,'כל ההוצאות'!$B:$B,"Recraft",'כל ההוצאות'!$F:$F,"מאי 2026")</f>
        <v/>
      </c>
      <c r="X21" s="37">
        <f>SUMIFS('כל ההוצאות'!$D:$D,'כל ההוצאות'!$B:$B,"Recraft",'כל ההוצאות'!$F:$F,"יוני 2026")</f>
        <v/>
      </c>
      <c r="Y21" s="38">
        <f>SUMIFS('כל ההוצאות'!$E:$E,'כל ההוצאות'!$B:$B,"Recraft",'כל ההוצאות'!$F:$F,"יוני 2026")</f>
        <v/>
      </c>
      <c r="Z21" s="37">
        <f>SUMIFS('כל ההוצאות'!$D:$D,'כל ההוצאות'!$B:$B,"Recraft",'כל ההוצאות'!$F:$F,"יולי 2026")</f>
        <v/>
      </c>
      <c r="AA21" s="38">
        <f>SUMIFS('כל ההוצאות'!$E:$E,'כל ההוצאות'!$B:$B,"Recraft",'כל ההוצאות'!$F:$F,"יולי 2026")</f>
        <v/>
      </c>
      <c r="AB21" s="37">
        <f>SUMIFS('כל ההוצאות'!$D:$D,'כל ההוצאות'!$B:$B,"Recraft",'כל ההוצאות'!$F:$F,"אוגוסט 2026")</f>
        <v/>
      </c>
      <c r="AC21" s="38">
        <f>SUMIFS('כל ההוצאות'!$E:$E,'כל ההוצאות'!$B:$B,"Recraft",'כל ההוצאות'!$F:$F,"אוגוסט 2026")</f>
        <v/>
      </c>
      <c r="AD21" s="37">
        <f>SUMIFS('כל ההוצאות'!$D:$D,'כל ההוצאות'!$B:$B,"Recraft",'כל ההוצאות'!$F:$F,"ספטמבר 2026")</f>
        <v/>
      </c>
      <c r="AE21" s="38">
        <f>SUMIFS('כל ההוצאות'!$E:$E,'כל ההוצאות'!$B:$B,"Recraft",'כל ההוצאות'!$F:$F,"ספטמבר 2026")</f>
        <v/>
      </c>
      <c r="AF21" s="37">
        <f>SUMIFS('כל ההוצאות'!$D:$D,'כל ההוצאות'!$B:$B,"Recraft",'כל ההוצאות'!$F:$F,"אוקטובר 2026")</f>
        <v/>
      </c>
      <c r="AG21" s="38">
        <f>SUMIFS('כל ההוצאות'!$E:$E,'כל ההוצאות'!$B:$B,"Recraft",'כל ההוצאות'!$F:$F,"אוקטובר 2026")</f>
        <v/>
      </c>
      <c r="AH21" s="37">
        <f>SUMIFS('כל ההוצאות'!$D:$D,'כל ההוצאות'!$B:$B,"Recraft",'כל ההוצאות'!$F:$F,"נובמבר 2026")</f>
        <v/>
      </c>
      <c r="AI21" s="38">
        <f>SUMIFS('כל ההוצאות'!$E:$E,'כל ההוצאות'!$B:$B,"Recraft",'כל ההוצאות'!$F:$F,"נובמבר 2026")</f>
        <v/>
      </c>
      <c r="AJ21" s="37">
        <f>SUMIFS('כל ההוצאות'!$D:$D,'כל ההוצאות'!$B:$B,"Recraft",'כל ההוצאות'!$F:$F,"דצמבר 2026")</f>
        <v/>
      </c>
      <c r="AK21" s="38">
        <f>SUMIFS('כל ההוצאות'!$E:$E,'כל ההוצאות'!$B:$B,"Recraft",'כל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SUMIFS('כל ההוצאות'!$E:$E,'כל ההוצאות'!$B:$B,"Replicate",'כל ההוצאות'!$F:$F,"יולי 2025")</f>
        <v/>
      </c>
      <c r="D22" s="42">
        <f>SUMIFS('כל ההוצאות'!$D:$D,'כל ההוצאות'!$B:$B,"Replicate",'כל ההוצאות'!$F:$F,"אוגוסט 2025")</f>
        <v/>
      </c>
      <c r="E22" s="43">
        <f>SUMIFS('כל ההוצאות'!$E:$E,'כל ההוצאות'!$B:$B,"Replicate",'כל ההוצאות'!$F:$F,"אוגוסט 2025")</f>
        <v/>
      </c>
      <c r="F22" s="42">
        <f>SUMIFS('כל ההוצאות'!$D:$D,'כל ההוצאות'!$B:$B,"Replicate",'כל ההוצאות'!$F:$F,"ספטמבר 2025")</f>
        <v/>
      </c>
      <c r="G22" s="43">
        <f>SUMIFS('כל ההוצאות'!$E:$E,'כל ההוצאות'!$B:$B,"Replicate",'כל ההוצאות'!$F:$F,"ספטמבר 2025")</f>
        <v/>
      </c>
      <c r="H22" s="42">
        <f>SUMIFS('כל ההוצאות'!$D:$D,'כל ההוצאות'!$B:$B,"Replicate",'כל ההוצאות'!$F:$F,"אוקטובר 2025")</f>
        <v/>
      </c>
      <c r="I22" s="43">
        <f>SUMIFS('כל ההוצאות'!$E:$E,'כל ההוצאות'!$B:$B,"Replicate",'כל ההוצאות'!$F:$F,"אוקטובר 2025")</f>
        <v/>
      </c>
      <c r="J22" s="42">
        <f>SUMIFS('כל ההוצאות'!$D:$D,'כל ההוצאות'!$B:$B,"Replicate",'כל ההוצאות'!$F:$F,"נובמבר 2025")</f>
        <v/>
      </c>
      <c r="K22" s="43">
        <f>SUMIFS('כל ההוצאות'!$E:$E,'כל ההוצאות'!$B:$B,"Replicate",'כל ההוצאות'!$F:$F,"נובמבר 2025")</f>
        <v/>
      </c>
      <c r="L22" s="42">
        <f>SUMIFS('כל ההוצאות'!$D:$D,'כל ההוצאות'!$B:$B,"Replicate",'כל ההוצאות'!$F:$F,"דצמבר 2025")</f>
        <v/>
      </c>
      <c r="M22" s="43">
        <f>SUMIFS('כל ההוצאות'!$E:$E,'כל ההוצאות'!$B:$B,"Replicate",'כל ההוצאות'!$F:$F,"דצמבר 2025")</f>
        <v/>
      </c>
      <c r="N22" s="42">
        <f>SUMIFS('כל ההוצאות'!$D:$D,'כל ההוצאות'!$B:$B,"Replicate",'כל ההוצאות'!$F:$F,"ינואר 2026")</f>
        <v/>
      </c>
      <c r="O22" s="43">
        <f>SUMIFS('כל ההוצאות'!$E:$E,'כל ההוצאות'!$B:$B,"Replicate",'כל ההוצאות'!$F:$F,"ינואר 2026")</f>
        <v/>
      </c>
      <c r="P22" s="42">
        <f>SUMIFS('כל ההוצאות'!$D:$D,'כל ההוצאות'!$B:$B,"Replicate",'כל ההוצאות'!$F:$F,"פברואר 2026")</f>
        <v/>
      </c>
      <c r="Q22" s="43">
        <f>SUMIFS('כל ההוצאות'!$E:$E,'כל ההוצאות'!$B:$B,"Replicate",'כל ההוצאות'!$F:$F,"פברואר 2026")</f>
        <v/>
      </c>
      <c r="R22" s="42">
        <f>SUMIFS('כל ההוצאות'!$D:$D,'כל ההוצאות'!$B:$B,"Replicate",'כל ההוצאות'!$F:$F,"מרץ 2026")</f>
        <v/>
      </c>
      <c r="S22" s="43">
        <f>SUMIFS('כל ההוצאות'!$E:$E,'כל ההוצאות'!$B:$B,"Replicate",'כל ההוצאות'!$F:$F,"מרץ 2026")</f>
        <v/>
      </c>
      <c r="T22" s="42">
        <f>SUMIFS('כל ההוצאות'!$D:$D,'כל ההוצאות'!$B:$B,"Replicate",'כל ההוצאות'!$F:$F,"אפריל 2026")</f>
        <v/>
      </c>
      <c r="U22" s="43">
        <f>SUMIFS('כל ההוצאות'!$E:$E,'כל ההוצאות'!$B:$B,"Replicate",'כל ההוצאות'!$F:$F,"אפריל 2026")</f>
        <v/>
      </c>
      <c r="V22" s="42">
        <f>SUMIFS('כל ההוצאות'!$D:$D,'כל ההוצאות'!$B:$B,"Replicate",'כל ההוצאות'!$F:$F,"מאי 2026")</f>
        <v/>
      </c>
      <c r="W22" s="43">
        <f>SUMIFS('כל ההוצאות'!$E:$E,'כל ההוצאות'!$B:$B,"Replicate",'כל ההוצאות'!$F:$F,"מאי 2026")</f>
        <v/>
      </c>
      <c r="X22" s="42">
        <f>SUMIFS('כל ההוצאות'!$D:$D,'כל ההוצאות'!$B:$B,"Replicate",'כל ההוצאות'!$F:$F,"יוני 2026")</f>
        <v/>
      </c>
      <c r="Y22" s="43">
        <f>SUMIFS('כל ההוצאות'!$E:$E,'כל ההוצאות'!$B:$B,"Replicate",'כל ההוצאות'!$F:$F,"יוני 2026")</f>
        <v/>
      </c>
      <c r="Z22" s="42">
        <f>SUMIFS('כל ההוצאות'!$D:$D,'כל ההוצאות'!$B:$B,"Replicate",'כל ההוצאות'!$F:$F,"יולי 2026")</f>
        <v/>
      </c>
      <c r="AA22" s="43">
        <f>SUMIFS('כל ההוצאות'!$E:$E,'כל ההוצאות'!$B:$B,"Replicate",'כל ההוצאות'!$F:$F,"יולי 2026")</f>
        <v/>
      </c>
      <c r="AB22" s="42">
        <f>SUMIFS('כל ההוצאות'!$D:$D,'כל ההוצאות'!$B:$B,"Replicate",'כל ההוצאות'!$F:$F,"אוגוסט 2026")</f>
        <v/>
      </c>
      <c r="AC22" s="43">
        <f>SUMIFS('כל ההוצאות'!$E:$E,'כל ההוצאות'!$B:$B,"Replicate",'כל ההוצאות'!$F:$F,"אוגוסט 2026")</f>
        <v/>
      </c>
      <c r="AD22" s="42">
        <f>SUMIFS('כל ההוצאות'!$D:$D,'כל ההוצאות'!$B:$B,"Replicate",'כל ההוצאות'!$F:$F,"ספטמבר 2026")</f>
        <v/>
      </c>
      <c r="AE22" s="43">
        <f>SUMIFS('כל ההוצאות'!$E:$E,'כל ההוצאות'!$B:$B,"Replicate",'כל ההוצאות'!$F:$F,"ספטמבר 2026")</f>
        <v/>
      </c>
      <c r="AF22" s="42">
        <f>SUMIFS('כל ההוצאות'!$D:$D,'כל ההוצאות'!$B:$B,"Replicate",'כל ההוצאות'!$F:$F,"אוקטובר 2026")</f>
        <v/>
      </c>
      <c r="AG22" s="43">
        <f>SUMIFS('כל ההוצאות'!$E:$E,'כל ההוצאות'!$B:$B,"Replicate",'כל ההוצאות'!$F:$F,"אוקטובר 2026")</f>
        <v/>
      </c>
      <c r="AH22" s="42">
        <f>SUMIFS('כל ההוצאות'!$D:$D,'כל ההוצאות'!$B:$B,"Replicate",'כל ההוצאות'!$F:$F,"נובמבר 2026")</f>
        <v/>
      </c>
      <c r="AI22" s="43">
        <f>SUMIFS('כל ההוצאות'!$E:$E,'כל ההוצאות'!$B:$B,"Replicate",'כל ההוצאות'!$F:$F,"נובמבר 2026")</f>
        <v/>
      </c>
      <c r="AJ22" s="42">
        <f>SUMIFS('כל ההוצאות'!$D:$D,'כל ההוצאות'!$B:$B,"Replicate",'כל ההוצאות'!$F:$F,"דצמבר 2026")</f>
        <v/>
      </c>
      <c r="AK22" s="43">
        <f>SUMIFS('כל ההוצאות'!$E:$E,'כל ההוצאות'!$B:$B,"Replicate",'כל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SUMIFS('כל ההוצאות'!$E:$E,'כל ההוצאות'!$B:$B,"Runway ML",'כל ההוצאות'!$F:$F,"יולי 2025")</f>
        <v/>
      </c>
      <c r="D23" s="37">
        <f>SUMIFS('כל ההוצאות'!$D:$D,'כל ההוצאות'!$B:$B,"Runway ML",'כל ההוצאות'!$F:$F,"אוגוסט 2025")</f>
        <v/>
      </c>
      <c r="E23" s="38">
        <f>SUMIFS('כל ההוצאות'!$E:$E,'כל ההוצאות'!$B:$B,"Runway ML",'כל ההוצאות'!$F:$F,"אוגוסט 2025")</f>
        <v/>
      </c>
      <c r="F23" s="37">
        <f>SUMIFS('כל ההוצאות'!$D:$D,'כל ההוצאות'!$B:$B,"Runway ML",'כל ההוצאות'!$F:$F,"ספטמבר 2025")</f>
        <v/>
      </c>
      <c r="G23" s="38">
        <f>SUMIFS('כל ההוצאות'!$E:$E,'כל ההוצאות'!$B:$B,"Runway ML",'כל ההוצאות'!$F:$F,"ספטמבר 2025")</f>
        <v/>
      </c>
      <c r="H23" s="37">
        <f>SUMIFS('כל ההוצאות'!$D:$D,'כל ההוצאות'!$B:$B,"Runway ML",'כל ההוצאות'!$F:$F,"אוקטובר 2025")</f>
        <v/>
      </c>
      <c r="I23" s="38">
        <f>SUMIFS('כל ההוצאות'!$E:$E,'כל ההוצאות'!$B:$B,"Runway ML",'כל ההוצאות'!$F:$F,"אוקטובר 2025")</f>
        <v/>
      </c>
      <c r="J23" s="37">
        <f>SUMIFS('כל ההוצאות'!$D:$D,'כל ההוצאות'!$B:$B,"Runway ML",'כל ההוצאות'!$F:$F,"נובמבר 2025")</f>
        <v/>
      </c>
      <c r="K23" s="38">
        <f>SUMIFS('כל ההוצאות'!$E:$E,'כל ההוצאות'!$B:$B,"Runway ML",'כל ההוצאות'!$F:$F,"נובמבר 2025")</f>
        <v/>
      </c>
      <c r="L23" s="37">
        <f>SUMIFS('כל ההוצאות'!$D:$D,'כל ההוצאות'!$B:$B,"Runway ML",'כל ההוצאות'!$F:$F,"דצמבר 2025")</f>
        <v/>
      </c>
      <c r="M23" s="38">
        <f>SUMIFS('כל ההוצאות'!$E:$E,'כל ההוצאות'!$B:$B,"Runway ML",'כל ההוצאות'!$F:$F,"דצמבר 2025")</f>
        <v/>
      </c>
      <c r="N23" s="37">
        <f>SUMIFS('כל ההוצאות'!$D:$D,'כל ההוצאות'!$B:$B,"Runway ML",'כל ההוצאות'!$F:$F,"ינואר 2026")</f>
        <v/>
      </c>
      <c r="O23" s="38">
        <f>SUMIFS('כל ההוצאות'!$E:$E,'כל ההוצאות'!$B:$B,"Runway ML",'כל ההוצאות'!$F:$F,"ינואר 2026")</f>
        <v/>
      </c>
      <c r="P23" s="37">
        <f>SUMIFS('כל ההוצאות'!$D:$D,'כל ההוצאות'!$B:$B,"Runway ML",'כל ההוצאות'!$F:$F,"פברואר 2026")</f>
        <v/>
      </c>
      <c r="Q23" s="38">
        <f>SUMIFS('כל ההוצאות'!$E:$E,'כל ההוצאות'!$B:$B,"Runway ML",'כל ההוצאות'!$F:$F,"פברואר 2026")</f>
        <v/>
      </c>
      <c r="R23" s="37">
        <f>SUMIFS('כל ההוצאות'!$D:$D,'כל ההוצאות'!$B:$B,"Runway ML",'כל ההוצאות'!$F:$F,"מרץ 2026")</f>
        <v/>
      </c>
      <c r="S23" s="38">
        <f>SUMIFS('כל ההוצאות'!$E:$E,'כל ההוצאות'!$B:$B,"Runway ML",'כל ההוצאות'!$F:$F,"מרץ 2026")</f>
        <v/>
      </c>
      <c r="T23" s="37">
        <f>SUMIFS('כל ההוצאות'!$D:$D,'כל ההוצאות'!$B:$B,"Runway ML",'כל ההוצאות'!$F:$F,"אפריל 2026")</f>
        <v/>
      </c>
      <c r="U23" s="38">
        <f>SUMIFS('כל ההוצאות'!$E:$E,'כל ההוצאות'!$B:$B,"Runway ML",'כל ההוצאות'!$F:$F,"אפריל 2026")</f>
        <v/>
      </c>
      <c r="V23" s="37">
        <f>SUMIFS('כל ההוצאות'!$D:$D,'כל ההוצאות'!$B:$B,"Runway ML",'כל ההוצאות'!$F:$F,"מאי 2026")</f>
        <v/>
      </c>
      <c r="W23" s="38">
        <f>SUMIFS('כל ההוצאות'!$E:$E,'כל ההוצאות'!$B:$B,"Runway ML",'כל ההוצאות'!$F:$F,"מאי 2026")</f>
        <v/>
      </c>
      <c r="X23" s="37">
        <f>SUMIFS('כל ההוצאות'!$D:$D,'כל ההוצאות'!$B:$B,"Runway ML",'כל ההוצאות'!$F:$F,"יוני 2026")</f>
        <v/>
      </c>
      <c r="Y23" s="38">
        <f>SUMIFS('כל ההוצאות'!$E:$E,'כל ההוצאות'!$B:$B,"Runway ML",'כל ההוצאות'!$F:$F,"יוני 2026")</f>
        <v/>
      </c>
      <c r="Z23" s="37">
        <f>SUMIFS('כל ההוצאות'!$D:$D,'כל ההוצאות'!$B:$B,"Runway ML",'כל ההוצאות'!$F:$F,"יולי 2026")</f>
        <v/>
      </c>
      <c r="AA23" s="38">
        <f>SUMIFS('כל ההוצאות'!$E:$E,'כל ההוצאות'!$B:$B,"Runway ML",'כל ההוצאות'!$F:$F,"יולי 2026")</f>
        <v/>
      </c>
      <c r="AB23" s="37">
        <f>SUMIFS('כל ההוצאות'!$D:$D,'כל ההוצאות'!$B:$B,"Runway ML",'כל ההוצאות'!$F:$F,"אוגוסט 2026")</f>
        <v/>
      </c>
      <c r="AC23" s="38">
        <f>SUMIFS('כל ההוצאות'!$E:$E,'כל ההוצאות'!$B:$B,"Runway ML",'כל ההוצאות'!$F:$F,"אוגוסט 2026")</f>
        <v/>
      </c>
      <c r="AD23" s="37">
        <f>SUMIFS('כל ההוצאות'!$D:$D,'כל ההוצאות'!$B:$B,"Runway ML",'כל ההוצאות'!$F:$F,"ספטמבר 2026")</f>
        <v/>
      </c>
      <c r="AE23" s="38">
        <f>SUMIFS('כל ההוצאות'!$E:$E,'כל ההוצאות'!$B:$B,"Runway ML",'כל ההוצאות'!$F:$F,"ספטמבר 2026")</f>
        <v/>
      </c>
      <c r="AF23" s="37">
        <f>SUMIFS('כל ההוצאות'!$D:$D,'כל ההוצאות'!$B:$B,"Runway ML",'כל ההוצאות'!$F:$F,"אוקטובר 2026")</f>
        <v/>
      </c>
      <c r="AG23" s="38">
        <f>SUMIFS('כל ההוצאות'!$E:$E,'כל ההוצאות'!$B:$B,"Runway ML",'כל ההוצאות'!$F:$F,"אוקטובר 2026")</f>
        <v/>
      </c>
      <c r="AH23" s="37">
        <f>SUMIFS('כל ההוצאות'!$D:$D,'כל ההוצאות'!$B:$B,"Runway ML",'כל ההוצאות'!$F:$F,"נובמבר 2026")</f>
        <v/>
      </c>
      <c r="AI23" s="38">
        <f>SUMIFS('כל ההוצאות'!$E:$E,'כל ההוצאות'!$B:$B,"Runway ML",'כל ההוצאות'!$F:$F,"נובמבר 2026")</f>
        <v/>
      </c>
      <c r="AJ23" s="37">
        <f>SUMIFS('כל ההוצאות'!$D:$D,'כל ההוצאות'!$B:$B,"Runway ML",'כל ההוצאות'!$F:$F,"דצמבר 2026")</f>
        <v/>
      </c>
      <c r="AK23" s="38">
        <f>SUMIFS('כל ההוצאות'!$E:$E,'כל ההוצאות'!$B:$B,"Runway ML",'כל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SUMIFS('כל ההוצאות'!$E:$E,'כל ההוצאות'!$B:$B,"Timeless",'כל ההוצאות'!$F:$F,"יולי 2025")</f>
        <v/>
      </c>
      <c r="D24" s="42">
        <f>SUMIFS('כל ההוצאות'!$D:$D,'כל ההוצאות'!$B:$B,"Timeless",'כל ההוצאות'!$F:$F,"אוגוסט 2025")</f>
        <v/>
      </c>
      <c r="E24" s="43">
        <f>SUMIFS('כל ההוצאות'!$E:$E,'כל ההוצאות'!$B:$B,"Timeless",'כל ההוצאות'!$F:$F,"אוגוסט 2025")</f>
        <v/>
      </c>
      <c r="F24" s="42">
        <f>SUMIFS('כל ההוצאות'!$D:$D,'כל ההוצאות'!$B:$B,"Timeless",'כל ההוצאות'!$F:$F,"ספטמבר 2025")</f>
        <v/>
      </c>
      <c r="G24" s="43">
        <f>SUMIFS('כל ההוצאות'!$E:$E,'כל ההוצאות'!$B:$B,"Timeless",'כל ההוצאות'!$F:$F,"ספטמבר 2025")</f>
        <v/>
      </c>
      <c r="H24" s="42">
        <f>SUMIFS('כל ההוצאות'!$D:$D,'כל ההוצאות'!$B:$B,"Timeless",'כל ההוצאות'!$F:$F,"אוקטובר 2025")</f>
        <v/>
      </c>
      <c r="I24" s="43">
        <f>SUMIFS('כל ההוצאות'!$E:$E,'כל ההוצאות'!$B:$B,"Timeless",'כל ההוצאות'!$F:$F,"אוקטובר 2025")</f>
        <v/>
      </c>
      <c r="J24" s="42">
        <f>SUMIFS('כל ההוצאות'!$D:$D,'כל ההוצאות'!$B:$B,"Timeless",'כל ההוצאות'!$F:$F,"נובמבר 2025")</f>
        <v/>
      </c>
      <c r="K24" s="43">
        <f>SUMIFS('כל ההוצאות'!$E:$E,'כל ההוצאות'!$B:$B,"Timeless",'כל ההוצאות'!$F:$F,"נובמבר 2025")</f>
        <v/>
      </c>
      <c r="L24" s="42">
        <f>SUMIFS('כל ההוצאות'!$D:$D,'כל ההוצאות'!$B:$B,"Timeless",'כל ההוצאות'!$F:$F,"דצמבר 2025")</f>
        <v/>
      </c>
      <c r="M24" s="43">
        <f>SUMIFS('כל ההוצאות'!$E:$E,'כל ההוצאות'!$B:$B,"Timeless",'כל ההוצאות'!$F:$F,"דצמבר 2025")</f>
        <v/>
      </c>
      <c r="N24" s="42">
        <f>SUMIFS('כל ההוצאות'!$D:$D,'כל ההוצאות'!$B:$B,"Timeless",'כל ההוצאות'!$F:$F,"ינואר 2026")</f>
        <v/>
      </c>
      <c r="O24" s="43">
        <f>SUMIFS('כל ההוצאות'!$E:$E,'כל ההוצאות'!$B:$B,"Timeless",'כל ההוצאות'!$F:$F,"ינואר 2026")</f>
        <v/>
      </c>
      <c r="P24" s="42">
        <f>SUMIFS('כל ההוצאות'!$D:$D,'כל ההוצאות'!$B:$B,"Timeless",'כל ההוצאות'!$F:$F,"פברואר 2026")</f>
        <v/>
      </c>
      <c r="Q24" s="43">
        <f>SUMIFS('כל ההוצאות'!$E:$E,'כל ההוצאות'!$B:$B,"Timeless",'כל ההוצאות'!$F:$F,"פברואר 2026")</f>
        <v/>
      </c>
      <c r="R24" s="42">
        <f>SUMIFS('כל ההוצאות'!$D:$D,'כל ההוצאות'!$B:$B,"Timeless",'כל ההוצאות'!$F:$F,"מרץ 2026")</f>
        <v/>
      </c>
      <c r="S24" s="43">
        <f>SUMIFS('כל ההוצאות'!$E:$E,'כל ההוצאות'!$B:$B,"Timeless",'כל ההוצאות'!$F:$F,"מרץ 2026")</f>
        <v/>
      </c>
      <c r="T24" s="42">
        <f>SUMIFS('כל ההוצאות'!$D:$D,'כל ההוצאות'!$B:$B,"Timeless",'כל ההוצאות'!$F:$F,"אפריל 2026")</f>
        <v/>
      </c>
      <c r="U24" s="43">
        <f>SUMIFS('כל ההוצאות'!$E:$E,'כל ההוצאות'!$B:$B,"Timeless",'כל ההוצאות'!$F:$F,"אפריל 2026")</f>
        <v/>
      </c>
      <c r="V24" s="42">
        <f>SUMIFS('כל ההוצאות'!$D:$D,'כל ההוצאות'!$B:$B,"Timeless",'כל ההוצאות'!$F:$F,"מאי 2026")</f>
        <v/>
      </c>
      <c r="W24" s="43">
        <f>SUMIFS('כל ההוצאות'!$E:$E,'כל ההוצאות'!$B:$B,"Timeless",'כל ההוצאות'!$F:$F,"מאי 2026")</f>
        <v/>
      </c>
      <c r="X24" s="42">
        <f>SUMIFS('כל ההוצאות'!$D:$D,'כל ההוצאות'!$B:$B,"Timeless",'כל ההוצאות'!$F:$F,"יוני 2026")</f>
        <v/>
      </c>
      <c r="Y24" s="43">
        <f>SUMIFS('כל ההוצאות'!$E:$E,'כל ההוצאות'!$B:$B,"Timeless",'כל ההוצאות'!$F:$F,"יוני 2026")</f>
        <v/>
      </c>
      <c r="Z24" s="42">
        <f>SUMIFS('כל ההוצאות'!$D:$D,'כל ההוצאות'!$B:$B,"Timeless",'כל ההוצאות'!$F:$F,"יולי 2026")</f>
        <v/>
      </c>
      <c r="AA24" s="43">
        <f>SUMIFS('כל ההוצאות'!$E:$E,'כל ההוצאות'!$B:$B,"Timeless",'כל ההוצאות'!$F:$F,"יולי 2026")</f>
        <v/>
      </c>
      <c r="AB24" s="42">
        <f>SUMIFS('כל ההוצאות'!$D:$D,'כל ההוצאות'!$B:$B,"Timeless",'כל ההוצאות'!$F:$F,"אוגוסט 2026")</f>
        <v/>
      </c>
      <c r="AC24" s="43">
        <f>SUMIFS('כל ההוצאות'!$E:$E,'כל ההוצאות'!$B:$B,"Timeless",'כל ההוצאות'!$F:$F,"אוגוסט 2026")</f>
        <v/>
      </c>
      <c r="AD24" s="42">
        <f>SUMIFS('כל ההוצאות'!$D:$D,'כל ההוצאות'!$B:$B,"Timeless",'כל ההוצאות'!$F:$F,"ספטמבר 2026")</f>
        <v/>
      </c>
      <c r="AE24" s="43">
        <f>SUMIFS('כל ההוצאות'!$E:$E,'כל ההוצאות'!$B:$B,"Timeless",'כל ההוצאות'!$F:$F,"ספטמבר 2026")</f>
        <v/>
      </c>
      <c r="AF24" s="42">
        <f>SUMIFS('כל ההוצאות'!$D:$D,'כל ההוצאות'!$B:$B,"Timeless",'כל ההוצאות'!$F:$F,"אוקטובר 2026")</f>
        <v/>
      </c>
      <c r="AG24" s="43">
        <f>SUMIFS('כל ההוצאות'!$E:$E,'כל ההוצאות'!$B:$B,"Timeless",'כל ההוצאות'!$F:$F,"אוקטובר 2026")</f>
        <v/>
      </c>
      <c r="AH24" s="42">
        <f>SUMIFS('כל ההוצאות'!$D:$D,'כל ההוצאות'!$B:$B,"Timeless",'כל ההוצאות'!$F:$F,"נובמבר 2026")</f>
        <v/>
      </c>
      <c r="AI24" s="43">
        <f>SUMIFS('כל ההוצאות'!$E:$E,'כל ההוצאות'!$B:$B,"Timeless",'כל ההוצאות'!$F:$F,"נובמבר 2026")</f>
        <v/>
      </c>
      <c r="AJ24" s="42">
        <f>SUMIFS('כל ההוצאות'!$D:$D,'כל ההוצאות'!$B:$B,"Timeless",'כל ההוצאות'!$F:$F,"דצמבר 2026")</f>
        <v/>
      </c>
      <c r="AK24" s="43">
        <f>SUMIFS('כל ההוצאות'!$E:$E,'כל ההוצאות'!$B:$B,"Timeless",'כל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2026-04-09T06:23:47Z</dcterms:created>
  <dcterms:modified xsi:type="dcterms:W3CDTF">2026-04-09T06:23:48Z</dcterms:modified>
</cp:coreProperties>
</file>