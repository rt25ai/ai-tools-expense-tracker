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3.142</v>
      </c>
      <c r="C4" s="5" t="inlineStr">
        <is>
          <t>← מקור: Bank of Israel Public API | עודכן: 2026-04-07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9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3.14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226.22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33.27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62.84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62.84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13.5</v>
      </c>
      <c r="E8" s="17" t="n">
        <v>42.42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 t="n">
        <v>355.49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10</v>
      </c>
      <c r="E10" s="17" t="n">
        <v>31.42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15</v>
      </c>
      <c r="E12" s="17" t="n">
        <v>47.13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12</v>
      </c>
      <c r="E13" s="13" t="n">
        <v>37.7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0.9</v>
      </c>
      <c r="E14" s="17" t="n">
        <v>2.83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19</v>
      </c>
      <c r="E15" s="13" t="n">
        <v>59.7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10.59</v>
      </c>
      <c r="E16" s="17" t="n">
        <v>33.27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20</v>
      </c>
      <c r="E17" s="13" t="n">
        <v>62.84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62.84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</v>
      </c>
      <c r="E19" s="13" t="n">
        <v>15.71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11.25</v>
      </c>
      <c r="E20" s="17" t="n">
        <v>35.35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2.79</v>
      </c>
      <c r="E22" s="17" t="n">
        <v>8.77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10.59</v>
      </c>
      <c r="E23" s="13" t="n">
        <v>33.27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62.84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62.84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15.71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62.84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20</v>
      </c>
      <c r="E29" s="13" t="n">
        <v>62.84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</v>
      </c>
      <c r="E30" s="17" t="n">
        <v>15.71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</v>
      </c>
      <c r="E31" s="13" t="n">
        <v>37.7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11.8</v>
      </c>
      <c r="E32" s="17" t="n">
        <v>37.08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</v>
      </c>
      <c r="E33" s="13" t="n">
        <v>47.13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</v>
      </c>
      <c r="E34" s="17" t="n">
        <v>31.42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62.84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20</v>
      </c>
      <c r="E36" s="17" t="n">
        <v>62.84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</v>
      </c>
      <c r="E37" s="13" t="n">
        <v>15.71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</v>
      </c>
      <c r="E39" s="13" t="n">
        <v>47.13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9.720000000000001</v>
      </c>
      <c r="E40" s="17" t="n">
        <v>30.54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30</v>
      </c>
      <c r="E41" s="13" t="n">
        <v>94.26000000000001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33</v>
      </c>
      <c r="E42" s="17" t="n">
        <v>103.69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62.84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36</v>
      </c>
      <c r="E44" s="17" t="n">
        <v>113.11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</v>
      </c>
      <c r="E45" s="13" t="n">
        <v>15.71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139.92</v>
      </c>
      <c r="E47" s="13" t="n">
        <v>439.63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</v>
      </c>
      <c r="E48" s="17" t="n">
        <v>47.13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19.43</v>
      </c>
      <c r="E49" s="13" t="n">
        <v>61.05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</v>
      </c>
      <c r="E50" s="17" t="n">
        <v>62.84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</v>
      </c>
      <c r="E51" s="13" t="n">
        <v>62.84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62.84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39</v>
      </c>
      <c r="E54" s="17" t="n">
        <v>122.54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</v>
      </c>
      <c r="E55" s="13" t="n">
        <v>78.55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</v>
      </c>
      <c r="E56" s="17" t="n">
        <v>135.11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</v>
      </c>
      <c r="E57" s="13" t="n">
        <v>15.71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14.5</v>
      </c>
      <c r="E58" s="17" t="n">
        <v>45.56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</v>
      </c>
      <c r="E59" s="13" t="n">
        <v>78.55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31.42</v>
      </c>
      <c r="E61" s="13" t="n">
        <v>98.72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</v>
      </c>
      <c r="E63" s="13" t="n">
        <v>147.67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</v>
      </c>
      <c r="E64" s="17" t="n">
        <v>62.84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</v>
      </c>
      <c r="E65" s="13" t="n">
        <v>15.71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62.84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</v>
      </c>
      <c r="E67" s="13" t="n">
        <v>62.84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</v>
      </c>
      <c r="E68" s="17" t="n">
        <v>157.1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</v>
      </c>
      <c r="E69" s="13" t="n">
        <v>160.24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</v>
      </c>
      <c r="E70" s="17" t="n">
        <v>15.71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</v>
      </c>
      <c r="E71" s="13" t="n">
        <v>31.42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Lovable</t>
        </is>
      </c>
      <c r="C72" s="15" t="inlineStr">
        <is>
          <t>Cloud &amp; AI Balance Top-up</t>
        </is>
      </c>
      <c r="D72" s="16" t="n">
        <v>10</v>
      </c>
      <c r="E72" s="17" t="n">
        <v>31.42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Timeless</t>
        </is>
      </c>
      <c r="C73" s="11" t="inlineStr">
        <is>
          <t>Pro monthly (50% off)</t>
        </is>
      </c>
      <c r="D73" s="12" t="n">
        <v>14.5</v>
      </c>
      <c r="E73" s="13" t="n">
        <v>45.56</v>
      </c>
      <c r="F73" s="10" t="inlineStr">
        <is>
          <t>מרץ 2026</t>
        </is>
      </c>
    </row>
    <row r="74">
      <c r="A74" s="14" t="inlineStr">
        <is>
          <t>2026-03-02</t>
        </is>
      </c>
      <c r="B74" s="15" t="inlineStr">
        <is>
          <t>Google Workspace</t>
        </is>
      </c>
      <c r="C74" s="15" t="inlineStr">
        <is>
          <t>Business Plus – Feb 2026 (₪75.90)</t>
        </is>
      </c>
      <c r="D74" s="16" t="n">
        <v>20.79</v>
      </c>
      <c r="E74" s="17" t="n">
        <v>75.90000000000001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Lovable</t>
        </is>
      </c>
      <c r="C75" s="11" t="inlineStr">
        <is>
          <t>Cloud &amp; AI Balance Top-up</t>
        </is>
      </c>
      <c r="D75" s="12" t="n">
        <v>10</v>
      </c>
      <c r="E75" s="13" t="n">
        <v>31.42</v>
      </c>
      <c r="F75" s="10" t="inlineStr">
        <is>
          <t>מרץ 2026</t>
        </is>
      </c>
    </row>
    <row r="76">
      <c r="A76" s="14" t="inlineStr">
        <is>
          <t>2026-03-03</t>
        </is>
      </c>
      <c r="B76" s="15" t="inlineStr">
        <is>
          <t>Meta (Ads)</t>
        </is>
      </c>
      <c r="C76" s="15" t="inlineStr">
        <is>
          <t>Facebook Ads</t>
        </is>
      </c>
      <c r="D76" s="16" t="n">
        <v>40.11</v>
      </c>
      <c r="E76" s="17" t="n">
        <v>126.03</v>
      </c>
      <c r="F76" s="14" t="inlineStr">
        <is>
          <t>מרץ 2026</t>
        </is>
      </c>
    </row>
    <row r="77">
      <c r="A77" s="10" t="inlineStr">
        <is>
          <t>2026-03-10</t>
        </is>
      </c>
      <c r="B77" s="11" t="inlineStr">
        <is>
          <t>CapCut</t>
        </is>
      </c>
      <c r="C77" s="11" t="inlineStr">
        <is>
          <t>Pro – Mar 2026 (₪49.90)</t>
        </is>
      </c>
      <c r="D77" s="12" t="n">
        <v>13.67</v>
      </c>
      <c r="E77" s="13" t="n">
        <v>49.9</v>
      </c>
      <c r="F77" s="10" t="inlineStr">
        <is>
          <t>מרץ 2026</t>
        </is>
      </c>
    </row>
    <row r="78">
      <c r="A78" s="14" t="inlineStr">
        <is>
          <t>2026-03-12</t>
        </is>
      </c>
      <c r="B78" s="15" t="inlineStr">
        <is>
          <t>Meta (Ads)</t>
        </is>
      </c>
      <c r="C78" s="15" t="inlineStr">
        <is>
          <t>Facebook Ads</t>
        </is>
      </c>
      <c r="D78" s="16" t="n">
        <v>51</v>
      </c>
      <c r="E78" s="17" t="n">
        <v>160.24</v>
      </c>
      <c r="F78" s="14" t="inlineStr">
        <is>
          <t>מרץ 2026</t>
        </is>
      </c>
    </row>
    <row r="79">
      <c r="A79" s="10" t="inlineStr">
        <is>
          <t>2026-03-15</t>
        </is>
      </c>
      <c r="B79" s="11" t="inlineStr">
        <is>
          <t>Anthropic</t>
        </is>
      </c>
      <c r="C79" s="11" t="inlineStr">
        <is>
          <t>Claude Pro</t>
        </is>
      </c>
      <c r="D79" s="12" t="n">
        <v>20</v>
      </c>
      <c r="E79" s="13" t="n">
        <v>62.84</v>
      </c>
      <c r="F79" s="10" t="inlineStr">
        <is>
          <t>מרץ 2026</t>
        </is>
      </c>
    </row>
    <row r="80">
      <c r="A80" s="14" t="inlineStr">
        <is>
          <t>2026-03-16</t>
        </is>
      </c>
      <c r="B80" s="15" t="inlineStr">
        <is>
          <t>OpenAI</t>
        </is>
      </c>
      <c r="C80" s="15" t="inlineStr">
        <is>
          <t>ChatGPT Plus</t>
        </is>
      </c>
      <c r="D80" s="16" t="n">
        <v>20</v>
      </c>
      <c r="E80" s="17" t="n">
        <v>62.84</v>
      </c>
      <c r="F80" s="14" t="inlineStr">
        <is>
          <t>מרץ 2026</t>
        </is>
      </c>
    </row>
    <row r="81">
      <c r="A81" s="10" t="inlineStr">
        <is>
          <t>2026-03-19</t>
        </is>
      </c>
      <c r="B81" s="11" t="inlineStr">
        <is>
          <t>Anthropic</t>
        </is>
      </c>
      <c r="C81" s="11" t="inlineStr">
        <is>
          <t>Credit purchase</t>
        </is>
      </c>
      <c r="D81" s="12" t="n">
        <v>10</v>
      </c>
      <c r="E81" s="13" t="n">
        <v>31.42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Eleven Labs</t>
        </is>
      </c>
      <c r="C82" s="15" t="inlineStr">
        <is>
          <t>Creator (first month 50% off)</t>
        </is>
      </c>
      <c r="D82" s="16" t="n">
        <v>11</v>
      </c>
      <c r="E82" s="17" t="n">
        <v>34.56</v>
      </c>
      <c r="F82" s="14" t="inlineStr">
        <is>
          <t>מרץ 2026</t>
        </is>
      </c>
    </row>
    <row r="83">
      <c r="A83" s="10" t="inlineStr">
        <is>
          <t>2026-03-25</t>
        </is>
      </c>
      <c r="B83" s="11" t="inlineStr">
        <is>
          <t>Lovable</t>
        </is>
      </c>
      <c r="C83" s="11" t="inlineStr">
        <is>
          <t>Lite plan</t>
        </is>
      </c>
      <c r="D83" s="12" t="n">
        <v>5</v>
      </c>
      <c r="E83" s="13" t="n">
        <v>15.71</v>
      </c>
      <c r="F83" s="10" t="inlineStr">
        <is>
          <t>מרץ 2026</t>
        </is>
      </c>
    </row>
    <row r="84">
      <c r="A84" s="14" t="inlineStr">
        <is>
          <t>2026-04-01</t>
        </is>
      </c>
      <c r="B84" s="15" t="inlineStr">
        <is>
          <t>Anthropic</t>
        </is>
      </c>
      <c r="C84" s="15" t="inlineStr">
        <is>
          <t>Claude Pro</t>
        </is>
      </c>
      <c r="D84" s="16" t="n">
        <v>20</v>
      </c>
      <c r="E84" s="17" t="n">
        <v>62.84</v>
      </c>
      <c r="F84" s="14" t="inlineStr">
        <is>
          <t>אפריל 2026</t>
        </is>
      </c>
    </row>
    <row r="85">
      <c r="A85" s="10" t="inlineStr">
        <is>
          <t>2026-04-01</t>
        </is>
      </c>
      <c r="B85" s="11" t="inlineStr">
        <is>
          <t>Anthropic</t>
        </is>
      </c>
      <c r="C85" s="11" t="inlineStr">
        <is>
          <t>Credit purchase</t>
        </is>
      </c>
      <c r="D85" s="12" t="n">
        <v>5</v>
      </c>
      <c r="E85" s="13" t="n">
        <v>15.71</v>
      </c>
      <c r="F85" s="10" t="inlineStr">
        <is>
          <t>אפריל 2026</t>
        </is>
      </c>
    </row>
    <row r="86">
      <c r="A86" s="14" t="inlineStr">
        <is>
          <t>2026-04-01</t>
        </is>
      </c>
      <c r="B86" s="15" t="inlineStr">
        <is>
          <t>Google Workspace</t>
        </is>
      </c>
      <c r="C86" s="15" t="inlineStr">
        <is>
          <t>Business Plus – Mar 2026 (₪75.90)</t>
        </is>
      </c>
      <c r="D86" s="16" t="n">
        <v>20.79</v>
      </c>
      <c r="E86" s="17" t="n">
        <v>75.90000000000001</v>
      </c>
      <c r="F86" s="14" t="inlineStr">
        <is>
          <t>אפריל 2026</t>
        </is>
      </c>
    </row>
    <row r="87">
      <c r="A87" s="10" t="inlineStr">
        <is>
          <t>2026-04-01</t>
        </is>
      </c>
      <c r="B87" s="11" t="inlineStr">
        <is>
          <t>Meta (Ads)</t>
        </is>
      </c>
      <c r="C87" s="11" t="inlineStr">
        <is>
          <t>Facebook Ads</t>
        </is>
      </c>
      <c r="D87" s="12" t="n">
        <v>51</v>
      </c>
      <c r="E87" s="13" t="n">
        <v>160.24</v>
      </c>
      <c r="F87" s="10" t="inlineStr">
        <is>
          <t>אפריל 2026</t>
        </is>
      </c>
    </row>
    <row r="88">
      <c r="A88" s="14" t="inlineStr">
        <is>
          <t>2026-04-03</t>
        </is>
      </c>
      <c r="B88" s="15" t="inlineStr">
        <is>
          <t>Meta (Ads)</t>
        </is>
      </c>
      <c r="C88" s="15" t="inlineStr">
        <is>
          <t>Facebook Ads</t>
        </is>
      </c>
      <c r="D88" s="16" t="n">
        <v>2.25</v>
      </c>
      <c r="E88" s="17" t="n">
        <v>7.07</v>
      </c>
      <c r="F88" s="14" t="inlineStr">
        <is>
          <t>אפריל 2026</t>
        </is>
      </c>
    </row>
    <row r="89">
      <c r="A89" s="10" t="inlineStr">
        <is>
          <t>2026-04-05</t>
        </is>
      </c>
      <c r="B89" s="11" t="inlineStr">
        <is>
          <t>IONOS</t>
        </is>
      </c>
      <c r="C89" s="11" t="inlineStr">
        <is>
          <t>Instant Domain</t>
        </is>
      </c>
      <c r="D89" s="12" t="n">
        <v>20</v>
      </c>
      <c r="E89" s="13" t="n">
        <v>62.84</v>
      </c>
      <c r="F89" s="10" t="inlineStr">
        <is>
          <t>אפריל 2026</t>
        </is>
      </c>
    </row>
    <row r="90">
      <c r="A90" s="14" t="inlineStr">
        <is>
          <t>2026-04-16</t>
        </is>
      </c>
      <c r="B90" s="15" t="inlineStr">
        <is>
          <t>OpenAI</t>
        </is>
      </c>
      <c r="C90" s="15" t="inlineStr">
        <is>
          <t>ChatGPT Plus</t>
        </is>
      </c>
      <c r="D90" s="16" t="n">
        <v>20</v>
      </c>
      <c r="E90" s="17" t="n">
        <v>62.84</v>
      </c>
      <c r="F90" s="14" t="inlineStr">
        <is>
          <t>אפריל 2026</t>
        </is>
      </c>
    </row>
    <row r="91">
      <c r="A91" s="10" t="inlineStr">
        <is>
          <t>2026-05-16</t>
        </is>
      </c>
      <c r="B91" s="11" t="inlineStr">
        <is>
          <t>OpenAI</t>
        </is>
      </c>
      <c r="C91" s="11" t="inlineStr">
        <is>
          <t>ChatGPT Plus</t>
        </is>
      </c>
      <c r="D91" s="12" t="n">
        <v>20</v>
      </c>
      <c r="E91" s="13" t="n">
        <v>62.84</v>
      </c>
      <c r="F91" s="10" t="inlineStr">
        <is>
          <t>מאי 2026</t>
        </is>
      </c>
    </row>
    <row r="92">
      <c r="A92" s="14" t="inlineStr">
        <is>
          <t>2026-06-16</t>
        </is>
      </c>
      <c r="B92" s="15" t="inlineStr">
        <is>
          <t>OpenAI</t>
        </is>
      </c>
      <c r="C92" s="15" t="inlineStr">
        <is>
          <t>ChatGPT Plus</t>
        </is>
      </c>
      <c r="D92" s="16" t="n">
        <v>20</v>
      </c>
      <c r="E92" s="17" t="n">
        <v>62.84</v>
      </c>
      <c r="F92" s="14" t="inlineStr">
        <is>
          <t>יוני 2026</t>
        </is>
      </c>
    </row>
    <row r="93">
      <c r="A93" s="10" t="inlineStr">
        <is>
          <t>2026-07-16</t>
        </is>
      </c>
      <c r="B93" s="11" t="inlineStr">
        <is>
          <t>OpenAI</t>
        </is>
      </c>
      <c r="C93" s="11" t="inlineStr">
        <is>
          <t>ChatGPT Plus</t>
        </is>
      </c>
      <c r="D93" s="12" t="n">
        <v>20</v>
      </c>
      <c r="E93" s="13" t="n">
        <v>62.84</v>
      </c>
      <c r="F93" s="10" t="inlineStr">
        <is>
          <t>יולי 2026</t>
        </is>
      </c>
    </row>
    <row r="94">
      <c r="A94" s="14" t="inlineStr">
        <is>
          <t>2026-08-16</t>
        </is>
      </c>
      <c r="B94" s="15" t="inlineStr">
        <is>
          <t>OpenAI</t>
        </is>
      </c>
      <c r="C94" s="15" t="inlineStr">
        <is>
          <t>ChatGPT Plus</t>
        </is>
      </c>
      <c r="D94" s="16" t="n">
        <v>20</v>
      </c>
      <c r="E94" s="17" t="n">
        <v>62.84</v>
      </c>
      <c r="F94" s="14" t="inlineStr">
        <is>
          <t>אוגוסט 2026</t>
        </is>
      </c>
    </row>
    <row r="95">
      <c r="A95" s="10" t="inlineStr">
        <is>
          <t>2026-09-16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62.84</v>
      </c>
      <c r="F95" s="10" t="inlineStr">
        <is>
          <t>ספטמבר 2026</t>
        </is>
      </c>
    </row>
    <row r="96">
      <c r="A96" s="14" t="inlineStr">
        <is>
          <t>2026-10-16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62.84</v>
      </c>
      <c r="F96" s="14" t="inlineStr">
        <is>
          <t>אוקטובר 2026</t>
        </is>
      </c>
    </row>
    <row r="97">
      <c r="A97" s="10" t="inlineStr">
        <is>
          <t>2026-11-16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62.84</v>
      </c>
      <c r="F97" s="10" t="inlineStr">
        <is>
          <t>נובמבר 2026</t>
        </is>
      </c>
    </row>
    <row r="98">
      <c r="A98" s="14" t="inlineStr">
        <is>
          <t>2026-12-16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62.84</v>
      </c>
      <c r="F98" s="14" t="inlineStr">
        <is>
          <t>דצמבר 2026</t>
        </is>
      </c>
    </row>
    <row r="99">
      <c r="A99" s="18" t="inlineStr">
        <is>
          <t>סה"כ"</t>
        </is>
      </c>
      <c r="B99" s="19" t="n"/>
      <c r="C99" s="19" t="n"/>
      <c r="D99" s="20">
        <f>SUM(D3:D98)</f>
        <v/>
      </c>
      <c r="E99" s="21">
        <f>SUM(E3:E98)</f>
        <v/>
      </c>
      <c r="F99" s="19" t="n"/>
    </row>
  </sheetData>
  <mergeCells count="2">
    <mergeCell ref="A99:C9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3.14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226.22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33.27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62.84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62.84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13.5</v>
      </c>
      <c r="E9" s="28" t="n">
        <v>42.42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 t="n">
        <v>355.49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10</v>
      </c>
      <c r="E11" s="28" t="n">
        <v>31.42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47.13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37.7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2.83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59.7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33.27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62.84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62.84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 t="n">
        <v>15.71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11.25</v>
      </c>
      <c r="E13" s="28" t="n">
        <v>35.35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8.77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33.27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62.84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62.84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15.71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62.84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20</v>
      </c>
      <c r="E6" s="26" t="n">
        <v>62.84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</v>
      </c>
      <c r="E7" s="28" t="n">
        <v>15.71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37.7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37.08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47.13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31.42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62.84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62.84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15.71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47.13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30.54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94.26000000000001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103.69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62.84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36</v>
      </c>
      <c r="E10" s="26" t="n">
        <v>113.11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15.71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439.63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47.13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61.05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62.84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62.84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62.84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39</v>
      </c>
      <c r="E12" s="26" t="n">
        <v>122.54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</v>
      </c>
      <c r="E13" s="28" t="n">
        <v>78.55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</v>
      </c>
      <c r="E14" s="26" t="n">
        <v>135.11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15.71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14.5</v>
      </c>
      <c r="E16" s="26" t="n">
        <v>45.56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78.55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 t="n">
        <v>98.72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</v>
      </c>
      <c r="E8" s="26" t="n">
        <v>147.67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62.84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</v>
      </c>
      <c r="E10" s="26" t="n">
        <v>15.71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62.84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</v>
      </c>
      <c r="E12" s="26" t="n">
        <v>62.84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</v>
      </c>
      <c r="E13" s="28" t="n">
        <v>157.1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</v>
      </c>
      <c r="E14" s="26" t="n">
        <v>160.24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15.71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</v>
      </c>
      <c r="E16" s="26" t="n">
        <v>31.42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 t="n">
        <v>31.42</v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 t="n">
        <v>45.56</v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 t="n">
        <v>31.42</v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 t="n">
        <v>126.03</v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 t="n">
        <v>49.9</v>
      </c>
      <c r="F9" s="29" t="n"/>
    </row>
    <row r="10">
      <c r="A10" s="14" t="inlineStr">
        <is>
          <t>2026-03-12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51</v>
      </c>
      <c r="E10" s="26" t="n">
        <v>160.24</v>
      </c>
      <c r="F10" s="24" t="n"/>
    </row>
    <row r="11">
      <c r="A11" s="10" t="inlineStr">
        <is>
          <t>2026-03-15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62.84</v>
      </c>
      <c r="F11" s="29" t="n"/>
    </row>
    <row r="12">
      <c r="A12" s="14" t="inlineStr">
        <is>
          <t>2026-03-16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62.84</v>
      </c>
      <c r="F12" s="24" t="n"/>
    </row>
    <row r="13">
      <c r="A13" s="10" t="inlineStr">
        <is>
          <t>2026-03-19</t>
        </is>
      </c>
      <c r="B13" s="11" t="inlineStr">
        <is>
          <t>Anthropic</t>
        </is>
      </c>
      <c r="C13" s="11" t="inlineStr">
        <is>
          <t>Credit purchase</t>
        </is>
      </c>
      <c r="D13" s="27" t="n">
        <v>10</v>
      </c>
      <c r="E13" s="28" t="n">
        <v>31.42</v>
      </c>
      <c r="F13" s="29" t="n"/>
    </row>
    <row r="14">
      <c r="A14" s="14" t="inlineStr">
        <is>
          <t>2026-03-19</t>
        </is>
      </c>
      <c r="B14" s="15" t="inlineStr">
        <is>
          <t>Eleven Labs</t>
        </is>
      </c>
      <c r="C14" s="15" t="inlineStr">
        <is>
          <t>Creator (first month 50% off)</t>
        </is>
      </c>
      <c r="D14" s="25" t="n">
        <v>11</v>
      </c>
      <c r="E14" s="26" t="n">
        <v>34.56</v>
      </c>
      <c r="F14" s="24" t="n"/>
    </row>
    <row r="15">
      <c r="A15" s="10" t="inlineStr">
        <is>
          <t>2026-03-25</t>
        </is>
      </c>
      <c r="B15" s="11" t="inlineStr">
        <is>
          <t>Lovable</t>
        </is>
      </c>
      <c r="C15" s="11" t="inlineStr">
        <is>
          <t>Lite plan</t>
        </is>
      </c>
      <c r="D15" s="27" t="n">
        <v>5</v>
      </c>
      <c r="E15" s="28" t="n">
        <v>15.71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62.84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15.71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 t="n">
        <v>160.24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2.25</v>
      </c>
      <c r="E8" s="26" t="n">
        <v>7.07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</v>
      </c>
      <c r="E9" s="28" t="n">
        <v>62.84</v>
      </c>
      <c r="F9" s="29" t="n"/>
    </row>
    <row r="10">
      <c r="A10" s="14" t="inlineStr">
        <is>
          <t>2026-04-16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62.84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5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Eleven Labs</t>
        </is>
      </c>
      <c r="B8" s="42">
        <f>SUMIFS('כל ההוצאות'!$D:$D,'כל ההוצאות'!$B:$B,"Eleven Labs",'כל ההוצאות'!$F:$F,"יולי 2025")</f>
        <v/>
      </c>
      <c r="C8" s="43">
        <f>SUMIFS('כל ההוצאות'!$E:$E,'כל ההוצאות'!$B:$B,"Eleven Labs",'כל ההוצאות'!$F:$F,"יולי 2025")</f>
        <v/>
      </c>
      <c r="D8" s="42">
        <f>SUMIFS('כל ההוצאות'!$D:$D,'כל ההוצאות'!$B:$B,"Eleven Labs",'כל ההוצאות'!$F:$F,"אוגוסט 2025")</f>
        <v/>
      </c>
      <c r="E8" s="43">
        <f>SUMIFS('כל ההוצאות'!$E:$E,'כל ההוצאות'!$B:$B,"Eleven Labs",'כל ההוצאות'!$F:$F,"אוגוסט 2025")</f>
        <v/>
      </c>
      <c r="F8" s="42">
        <f>SUMIFS('כל ההוצאות'!$D:$D,'כל ההוצאות'!$B:$B,"Eleven Labs",'כל ההוצאות'!$F:$F,"ספטמבר 2025")</f>
        <v/>
      </c>
      <c r="G8" s="43">
        <f>SUMIFS('כל ההוצאות'!$E:$E,'כל ההוצאות'!$B:$B,"Eleven Labs",'כל ההוצאות'!$F:$F,"ספטמבר 2025")</f>
        <v/>
      </c>
      <c r="H8" s="42">
        <f>SUMIFS('כל ההוצאות'!$D:$D,'כל ההוצאות'!$B:$B,"Eleven Labs",'כל ההוצאות'!$F:$F,"אוקטובר 2025")</f>
        <v/>
      </c>
      <c r="I8" s="43">
        <f>SUMIFS('כל ההוצאות'!$E:$E,'כל ההוצאות'!$B:$B,"Eleven Labs",'כל ההוצאות'!$F:$F,"אוקטובר 2025")</f>
        <v/>
      </c>
      <c r="J8" s="42">
        <f>SUMIFS('כל ההוצאות'!$D:$D,'כל ההוצאות'!$B:$B,"Eleven Labs",'כל ההוצאות'!$F:$F,"נובמבר 2025")</f>
        <v/>
      </c>
      <c r="K8" s="43">
        <f>SUMIFS('כל ההוצאות'!$E:$E,'כל ההוצאות'!$B:$B,"Eleven Labs",'כל ההוצאות'!$F:$F,"נובמבר 2025")</f>
        <v/>
      </c>
      <c r="L8" s="42">
        <f>SUMIFS('כל ההוצאות'!$D:$D,'כל ההוצאות'!$B:$B,"Eleven Labs",'כל ההוצאות'!$F:$F,"דצמבר 2025")</f>
        <v/>
      </c>
      <c r="M8" s="43">
        <f>SUMIFS('כל ההוצאות'!$E:$E,'כל ההוצאות'!$B:$B,"Eleven Labs",'כל ההוצאות'!$F:$F,"דצמבר 2025")</f>
        <v/>
      </c>
      <c r="N8" s="42">
        <f>SUMIFS('כל ההוצאות'!$D:$D,'כל ההוצאות'!$B:$B,"Eleven Labs",'כל ההוצאות'!$F:$F,"ינואר 2026")</f>
        <v/>
      </c>
      <c r="O8" s="43">
        <f>SUMIFS('כל ההוצאות'!$E:$E,'כל ההוצאות'!$B:$B,"Eleven Labs",'כל ההוצאות'!$F:$F,"ינואר 2026")</f>
        <v/>
      </c>
      <c r="P8" s="42">
        <f>SUMIFS('כל ההוצאות'!$D:$D,'כל ההוצאות'!$B:$B,"Eleven Labs",'כל ההוצאות'!$F:$F,"פברואר 2026")</f>
        <v/>
      </c>
      <c r="Q8" s="43">
        <f>SUMIFS('כל ההוצאות'!$E:$E,'כל ההוצאות'!$B:$B,"Eleven Labs",'כל ההוצאות'!$F:$F,"פברואר 2026")</f>
        <v/>
      </c>
      <c r="R8" s="42">
        <f>SUMIFS('כל ההוצאות'!$D:$D,'כל ההוצאות'!$B:$B,"Eleven Labs",'כל ההוצאות'!$F:$F,"מרץ 2026")</f>
        <v/>
      </c>
      <c r="S8" s="43">
        <f>SUMIFS('כל ההוצאות'!$E:$E,'כל ההוצאות'!$B:$B,"Eleven Labs",'כל ההוצאות'!$F:$F,"מרץ 2026")</f>
        <v/>
      </c>
      <c r="T8" s="42">
        <f>SUMIFS('כל ההוצאות'!$D:$D,'כל ההוצאות'!$B:$B,"Eleven Labs",'כל ההוצאות'!$F:$F,"אפריל 2026")</f>
        <v/>
      </c>
      <c r="U8" s="43">
        <f>SUMIFS('כל ההוצאות'!$E:$E,'כל ההוצאות'!$B:$B,"Eleven Labs",'כל ההוצאות'!$F:$F,"אפריל 2026")</f>
        <v/>
      </c>
      <c r="V8" s="42">
        <f>SUMIFS('כל ההוצאות'!$D:$D,'כל ההוצאות'!$B:$B,"Eleven Labs",'כל ההוצאות'!$F:$F,"מאי 2026")</f>
        <v/>
      </c>
      <c r="W8" s="43">
        <f>SUMIFS('כל ההוצאות'!$E:$E,'כל ההוצאות'!$B:$B,"Eleven Labs",'כל ההוצאות'!$F:$F,"מאי 2026")</f>
        <v/>
      </c>
      <c r="X8" s="42">
        <f>SUMIFS('כל ההוצאות'!$D:$D,'כל ההוצאות'!$B:$B,"Eleven Labs",'כל ההוצאות'!$F:$F,"יוני 2026")</f>
        <v/>
      </c>
      <c r="Y8" s="43">
        <f>SUMIFS('כל ההוצאות'!$E:$E,'כל ההוצאות'!$B:$B,"Eleven Labs",'כל ההוצאות'!$F:$F,"יוני 2026")</f>
        <v/>
      </c>
      <c r="Z8" s="42">
        <f>SUMIFS('כל ההוצאות'!$D:$D,'כל ההוצאות'!$B:$B,"Eleven Labs",'כל ההוצאות'!$F:$F,"יולי 2026")</f>
        <v/>
      </c>
      <c r="AA8" s="43">
        <f>SUMIFS('כל ההוצאות'!$E:$E,'כל ההוצאות'!$B:$B,"Eleven Labs",'כל ההוצאות'!$F:$F,"יולי 2026")</f>
        <v/>
      </c>
      <c r="AB8" s="42">
        <f>SUMIFS('כל ההוצאות'!$D:$D,'כל ההוצאות'!$B:$B,"Eleven Labs",'כל ההוצאות'!$F:$F,"אוגוסט 2026")</f>
        <v/>
      </c>
      <c r="AC8" s="43">
        <f>SUMIFS('כל ההוצאות'!$E:$E,'כל ההוצאות'!$B:$B,"Eleven Labs",'כל ההוצאות'!$F:$F,"אוגוסט 2026")</f>
        <v/>
      </c>
      <c r="AD8" s="42">
        <f>SUMIFS('כל ההוצאות'!$D:$D,'כל ההוצאות'!$B:$B,"Eleven Labs",'כל ההוצאות'!$F:$F,"ספטמבר 2026")</f>
        <v/>
      </c>
      <c r="AE8" s="43">
        <f>SUMIFS('כל ההוצאות'!$E:$E,'כל ההוצאות'!$B:$B,"Eleven Labs",'כל ההוצאות'!$F:$F,"ספטמבר 2026")</f>
        <v/>
      </c>
      <c r="AF8" s="42">
        <f>SUMIFS('כל ההוצאות'!$D:$D,'כל ההוצאות'!$B:$B,"Eleven Labs",'כל ההוצאות'!$F:$F,"אוקטובר 2026")</f>
        <v/>
      </c>
      <c r="AG8" s="43">
        <f>SUMIFS('כל ההוצאות'!$E:$E,'כל ההוצאות'!$B:$B,"Eleven Labs",'כל ההוצאות'!$F:$F,"אוקטובר 2026")</f>
        <v/>
      </c>
      <c r="AH8" s="42">
        <f>SUMIFS('כל ההוצאות'!$D:$D,'כל ההוצאות'!$B:$B,"Eleven Labs",'כל ההוצאות'!$F:$F,"נובמבר 2026")</f>
        <v/>
      </c>
      <c r="AI8" s="43">
        <f>SUMIFS('כל ההוצאות'!$E:$E,'כל ההוצאות'!$B:$B,"Eleven Labs",'כל ההוצאות'!$F:$F,"נובמבר 2026")</f>
        <v/>
      </c>
      <c r="AJ8" s="42">
        <f>SUMIFS('כל ההוצאות'!$D:$D,'כל ההוצאות'!$B:$B,"Eleven Labs",'כל ההוצאות'!$F:$F,"דצמבר 2026")</f>
        <v/>
      </c>
      <c r="AK8" s="43">
        <f>SUMIFS('כל ההוצאות'!$E:$E,'כל ההוצאות'!$B:$B,"Eleven Labs",'כל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Genspark</t>
        </is>
      </c>
      <c r="B9" s="37">
        <f>SUMIFS('כל ההוצאות'!$D:$D,'כל ההוצאות'!$B:$B,"Genspark",'כל ההוצאות'!$F:$F,"יולי 2025")</f>
        <v/>
      </c>
      <c r="C9" s="38">
        <f>SUMIFS('כל ההוצאות'!$E:$E,'כל ההוצאות'!$B:$B,"Genspark",'כל ההוצאות'!$F:$F,"יולי 2025")</f>
        <v/>
      </c>
      <c r="D9" s="37">
        <f>SUMIFS('כל ההוצאות'!$D:$D,'כל ההוצאות'!$B:$B,"Genspark",'כל ההוצאות'!$F:$F,"אוגוסט 2025")</f>
        <v/>
      </c>
      <c r="E9" s="38">
        <f>SUMIFS('כל ההוצאות'!$E:$E,'כל ההוצאות'!$B:$B,"Genspark",'כל ההוצאות'!$F:$F,"אוגוסט 2025")</f>
        <v/>
      </c>
      <c r="F9" s="37">
        <f>SUMIFS('כל ההוצאות'!$D:$D,'כל ההוצאות'!$B:$B,"Genspark",'כל ההוצאות'!$F:$F,"ספטמבר 2025")</f>
        <v/>
      </c>
      <c r="G9" s="38">
        <f>SUMIFS('כל ההוצאות'!$E:$E,'כל ההוצאות'!$B:$B,"Genspark",'כל ההוצאות'!$F:$F,"ספטמבר 2025")</f>
        <v/>
      </c>
      <c r="H9" s="37">
        <f>SUMIFS('כל ההוצאות'!$D:$D,'כל ההוצאות'!$B:$B,"Genspark",'כל ההוצאות'!$F:$F,"אוקטובר 2025")</f>
        <v/>
      </c>
      <c r="I9" s="38">
        <f>SUMIFS('כל ההוצאות'!$E:$E,'כל ההוצאות'!$B:$B,"Genspark",'כל ההוצאות'!$F:$F,"אוקטובר 2025")</f>
        <v/>
      </c>
      <c r="J9" s="37">
        <f>SUMIFS('כל ההוצאות'!$D:$D,'כל ההוצאות'!$B:$B,"Genspark",'כל ההוצאות'!$F:$F,"נובמבר 2025")</f>
        <v/>
      </c>
      <c r="K9" s="38">
        <f>SUMIFS('כל ההוצאות'!$E:$E,'כל ההוצאות'!$B:$B,"Genspark",'כל ההוצאות'!$F:$F,"נובמבר 2025")</f>
        <v/>
      </c>
      <c r="L9" s="37">
        <f>SUMIFS('כל ההוצאות'!$D:$D,'כל ההוצאות'!$B:$B,"Genspark",'כל ההוצאות'!$F:$F,"דצמבר 2025")</f>
        <v/>
      </c>
      <c r="M9" s="38">
        <f>SUMIFS('כל ההוצאות'!$E:$E,'כל ההוצאות'!$B:$B,"Genspark",'כל ההוצאות'!$F:$F,"דצמבר 2025")</f>
        <v/>
      </c>
      <c r="N9" s="37">
        <f>SUMIFS('כל ההוצאות'!$D:$D,'כל ההוצאות'!$B:$B,"Genspark",'כל ההוצאות'!$F:$F,"ינואר 2026")</f>
        <v/>
      </c>
      <c r="O9" s="38">
        <f>SUMIFS('כל ההוצאות'!$E:$E,'כל ההוצאות'!$B:$B,"Genspark",'כל ההוצאות'!$F:$F,"ינואר 2026")</f>
        <v/>
      </c>
      <c r="P9" s="37">
        <f>SUMIFS('כל ההוצאות'!$D:$D,'כל ההוצאות'!$B:$B,"Genspark",'כל ההוצאות'!$F:$F,"פברואר 2026")</f>
        <v/>
      </c>
      <c r="Q9" s="38">
        <f>SUMIFS('כל ההוצאות'!$E:$E,'כל ההוצאות'!$B:$B,"Genspark",'כל ההוצאות'!$F:$F,"פברואר 2026")</f>
        <v/>
      </c>
      <c r="R9" s="37">
        <f>SUMIFS('כל ההוצאות'!$D:$D,'כל ההוצאות'!$B:$B,"Genspark",'כל ההוצאות'!$F:$F,"מרץ 2026")</f>
        <v/>
      </c>
      <c r="S9" s="38">
        <f>SUMIFS('כל ההוצאות'!$E:$E,'כל ההוצאות'!$B:$B,"Genspark",'כל ההוצאות'!$F:$F,"מרץ 2026")</f>
        <v/>
      </c>
      <c r="T9" s="37">
        <f>SUMIFS('כל ההוצאות'!$D:$D,'כל ההוצאות'!$B:$B,"Genspark",'כל ההוצאות'!$F:$F,"אפריל 2026")</f>
        <v/>
      </c>
      <c r="U9" s="38">
        <f>SUMIFS('כל ההוצאות'!$E:$E,'כל ההוצאות'!$B:$B,"Genspark",'כל ההוצאות'!$F:$F,"אפריל 2026")</f>
        <v/>
      </c>
      <c r="V9" s="37">
        <f>SUMIFS('כל ההוצאות'!$D:$D,'כל ההוצאות'!$B:$B,"Genspark",'כל ההוצאות'!$F:$F,"מאי 2026")</f>
        <v/>
      </c>
      <c r="W9" s="38">
        <f>SUMIFS('כל ההוצאות'!$E:$E,'כל ההוצאות'!$B:$B,"Genspark",'כל ההוצאות'!$F:$F,"מאי 2026")</f>
        <v/>
      </c>
      <c r="X9" s="37">
        <f>SUMIFS('כל ההוצאות'!$D:$D,'כל ההוצאות'!$B:$B,"Genspark",'כל ההוצאות'!$F:$F,"יוני 2026")</f>
        <v/>
      </c>
      <c r="Y9" s="38">
        <f>SUMIFS('כל ההוצאות'!$E:$E,'כל ההוצאות'!$B:$B,"Genspark",'כל ההוצאות'!$F:$F,"יוני 2026")</f>
        <v/>
      </c>
      <c r="Z9" s="37">
        <f>SUMIFS('כל ההוצאות'!$D:$D,'כל ההוצאות'!$B:$B,"Genspark",'כל ההוצאות'!$F:$F,"יולי 2026")</f>
        <v/>
      </c>
      <c r="AA9" s="38">
        <f>SUMIFS('כל ההוצאות'!$E:$E,'כל ההוצאות'!$B:$B,"Genspark",'כל ההוצאות'!$F:$F,"יולי 2026")</f>
        <v/>
      </c>
      <c r="AB9" s="37">
        <f>SUMIFS('כל ההוצאות'!$D:$D,'כל ההוצאות'!$B:$B,"Genspark",'כל ההוצאות'!$F:$F,"אוגוסט 2026")</f>
        <v/>
      </c>
      <c r="AC9" s="38">
        <f>SUMIFS('כל ההוצאות'!$E:$E,'כל ההוצאות'!$B:$B,"Genspark",'כל ההוצאות'!$F:$F,"אוגוסט 2026")</f>
        <v/>
      </c>
      <c r="AD9" s="37">
        <f>SUMIFS('כל ההוצאות'!$D:$D,'כל ההוצאות'!$B:$B,"Genspark",'כל ההוצאות'!$F:$F,"ספטמבר 2026")</f>
        <v/>
      </c>
      <c r="AE9" s="38">
        <f>SUMIFS('כל ההוצאות'!$E:$E,'כל ההוצאות'!$B:$B,"Genspark",'כל ההוצאות'!$F:$F,"ספטמבר 2026")</f>
        <v/>
      </c>
      <c r="AF9" s="37">
        <f>SUMIFS('כל ההוצאות'!$D:$D,'כל ההוצאות'!$B:$B,"Genspark",'כל ההוצאות'!$F:$F,"אוקטובר 2026")</f>
        <v/>
      </c>
      <c r="AG9" s="38">
        <f>SUMIFS('כל ההוצאות'!$E:$E,'כל ההוצאות'!$B:$B,"Genspark",'כל ההוצאות'!$F:$F,"אוקטובר 2026")</f>
        <v/>
      </c>
      <c r="AH9" s="37">
        <f>SUMIFS('כל ההוצאות'!$D:$D,'כל ההוצאות'!$B:$B,"Genspark",'כל ההוצאות'!$F:$F,"נובמבר 2026")</f>
        <v/>
      </c>
      <c r="AI9" s="38">
        <f>SUMIFS('כל ההוצאות'!$E:$E,'כל ההוצאות'!$B:$B,"Genspark",'כל ההוצאות'!$F:$F,"נובמבר 2026")</f>
        <v/>
      </c>
      <c r="AJ9" s="37">
        <f>SUMIFS('כל ההוצאות'!$D:$D,'כל ההוצאות'!$B:$B,"Genspark",'כל ההוצאות'!$F:$F,"דצמבר 2026")</f>
        <v/>
      </c>
      <c r="AK9" s="38">
        <f>SUMIFS('כל ההוצאות'!$E:$E,'כל ההוצאות'!$B:$B,"Genspark",'כל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Google Workspace</t>
        </is>
      </c>
      <c r="B10" s="42">
        <f>SUMIFS('כל ההוצאות'!$D:$D,'כל ההוצאות'!$B:$B,"Google Workspace",'כל ההוצאות'!$F:$F,"יולי 2025")</f>
        <v/>
      </c>
      <c r="C10" s="43">
        <f>SUMIFS('כל ההוצאות'!$E:$E,'כל ההוצאות'!$B:$B,"Google Workspace",'כל ההוצאות'!$F:$F,"יולי 2025")</f>
        <v/>
      </c>
      <c r="D10" s="42">
        <f>SUMIFS('כל ההוצאות'!$D:$D,'כל ההוצאות'!$B:$B,"Google Workspace",'כל ההוצאות'!$F:$F,"אוגוסט 2025")</f>
        <v/>
      </c>
      <c r="E10" s="43">
        <f>SUMIFS('כל ההוצאות'!$E:$E,'כל ההוצאות'!$B:$B,"Google Workspace",'כל ההוצאות'!$F:$F,"אוגוסט 2025")</f>
        <v/>
      </c>
      <c r="F10" s="42">
        <f>SUMIFS('כל ההוצאות'!$D:$D,'כל ההוצאות'!$B:$B,"Google Workspace",'כל ההוצאות'!$F:$F,"ספטמבר 2025")</f>
        <v/>
      </c>
      <c r="G10" s="43">
        <f>SUMIFS('כל ההוצאות'!$E:$E,'כל ההוצאות'!$B:$B,"Google Workspace",'כל ההוצאות'!$F:$F,"ספטמבר 2025")</f>
        <v/>
      </c>
      <c r="H10" s="42">
        <f>SUMIFS('כל ההוצאות'!$D:$D,'כל ההוצאות'!$B:$B,"Google Workspace",'כל ההוצאות'!$F:$F,"אוקטובר 2025")</f>
        <v/>
      </c>
      <c r="I10" s="43">
        <f>SUMIFS('כל ההוצאות'!$E:$E,'כל ההוצאות'!$B:$B,"Google Workspace",'כל ההוצאות'!$F:$F,"אוקטובר 2025")</f>
        <v/>
      </c>
      <c r="J10" s="42">
        <f>SUMIFS('כל ההוצאות'!$D:$D,'כל ההוצאות'!$B:$B,"Google Workspace",'כל ההוצאות'!$F:$F,"נובמבר 2025")</f>
        <v/>
      </c>
      <c r="K10" s="43">
        <f>SUMIFS('כל ההוצאות'!$E:$E,'כל ההוצאות'!$B:$B,"Google Workspace",'כל ההוצאות'!$F:$F,"נובמבר 2025")</f>
        <v/>
      </c>
      <c r="L10" s="42">
        <f>SUMIFS('כל ההוצאות'!$D:$D,'כל ההוצאות'!$B:$B,"Google Workspace",'כל ההוצאות'!$F:$F,"דצמבר 2025")</f>
        <v/>
      </c>
      <c r="M10" s="43">
        <f>SUMIFS('כל ההוצאות'!$E:$E,'כל ההוצאות'!$B:$B,"Google Workspace",'כל ההוצאות'!$F:$F,"דצמבר 2025")</f>
        <v/>
      </c>
      <c r="N10" s="42">
        <f>SUMIFS('כל ההוצאות'!$D:$D,'כל ההוצאות'!$B:$B,"Google Workspace",'כל ההוצאות'!$F:$F,"ינואר 2026")</f>
        <v/>
      </c>
      <c r="O10" s="43">
        <f>SUMIFS('כל ההוצאות'!$E:$E,'כל ההוצאות'!$B:$B,"Google Workspace",'כל ההוצאות'!$F:$F,"ינואר 2026")</f>
        <v/>
      </c>
      <c r="P10" s="42">
        <f>SUMIFS('כל ההוצאות'!$D:$D,'כל ההוצאות'!$B:$B,"Google Workspace",'כל ההוצאות'!$F:$F,"פברואר 2026")</f>
        <v/>
      </c>
      <c r="Q10" s="43">
        <f>SUMIFS('כל ההוצאות'!$E:$E,'כל ההוצאות'!$B:$B,"Google Workspace",'כל ההוצאות'!$F:$F,"פברואר 2026")</f>
        <v/>
      </c>
      <c r="R10" s="42">
        <f>SUMIFS('כל ההוצאות'!$D:$D,'כל ההוצאות'!$B:$B,"Google Workspace",'כל ההוצאות'!$F:$F,"מרץ 2026")</f>
        <v/>
      </c>
      <c r="S10" s="43">
        <f>SUMIFS('כל ההוצאות'!$E:$E,'כל ההוצאות'!$B:$B,"Google Workspace",'כל ההוצאות'!$F:$F,"מרץ 2026")</f>
        <v/>
      </c>
      <c r="T10" s="42">
        <f>SUMIFS('כל ההוצאות'!$D:$D,'כל ההוצאות'!$B:$B,"Google Workspace",'כל ההוצאות'!$F:$F,"אפריל 2026")</f>
        <v/>
      </c>
      <c r="U10" s="43">
        <f>SUMIFS('כל ההוצאות'!$E:$E,'כל ההוצאות'!$B:$B,"Google Workspace",'כל ההוצאות'!$F:$F,"אפריל 2026")</f>
        <v/>
      </c>
      <c r="V10" s="42">
        <f>SUMIFS('כל ההוצאות'!$D:$D,'כל ההוצאות'!$B:$B,"Google Workspace",'כל ההוצאות'!$F:$F,"מאי 2026")</f>
        <v/>
      </c>
      <c r="W10" s="43">
        <f>SUMIFS('כל ההוצאות'!$E:$E,'כל ההוצאות'!$B:$B,"Google Workspace",'כל ההוצאות'!$F:$F,"מאי 2026")</f>
        <v/>
      </c>
      <c r="X10" s="42">
        <f>SUMIFS('כל ההוצאות'!$D:$D,'כל ההוצאות'!$B:$B,"Google Workspace",'כל ההוצאות'!$F:$F,"יוני 2026")</f>
        <v/>
      </c>
      <c r="Y10" s="43">
        <f>SUMIFS('כל ההוצאות'!$E:$E,'כל ההוצאות'!$B:$B,"Google Workspace",'כל ההוצאות'!$F:$F,"יוני 2026")</f>
        <v/>
      </c>
      <c r="Z10" s="42">
        <f>SUMIFS('כל ההוצאות'!$D:$D,'כל ההוצאות'!$B:$B,"Google Workspace",'כל ההוצאות'!$F:$F,"יולי 2026")</f>
        <v/>
      </c>
      <c r="AA10" s="43">
        <f>SUMIFS('כל ההוצאות'!$E:$E,'כל ההוצאות'!$B:$B,"Google Workspace",'כל ההוצאות'!$F:$F,"יולי 2026")</f>
        <v/>
      </c>
      <c r="AB10" s="42">
        <f>SUMIFS('כל ההוצאות'!$D:$D,'כל ההוצאות'!$B:$B,"Google Workspace",'כל ההוצאות'!$F:$F,"אוגוסט 2026")</f>
        <v/>
      </c>
      <c r="AC10" s="43">
        <f>SUMIFS('כל ההוצאות'!$E:$E,'כל ההוצאות'!$B:$B,"Google Workspace",'כל ההוצאות'!$F:$F,"אוגוסט 2026")</f>
        <v/>
      </c>
      <c r="AD10" s="42">
        <f>SUMIFS('כל ההוצאות'!$D:$D,'כל ההוצאות'!$B:$B,"Google Workspace",'כל ההוצאות'!$F:$F,"ספטמבר 2026")</f>
        <v/>
      </c>
      <c r="AE10" s="43">
        <f>SUMIFS('כל ההוצאות'!$E:$E,'כל ההוצאות'!$B:$B,"Google Workspace",'כל ההוצאות'!$F:$F,"ספטמבר 2026")</f>
        <v/>
      </c>
      <c r="AF10" s="42">
        <f>SUMIFS('כל ההוצאות'!$D:$D,'כל ההוצאות'!$B:$B,"Google Workspace",'כל ההוצאות'!$F:$F,"אוקטובר 2026")</f>
        <v/>
      </c>
      <c r="AG10" s="43">
        <f>SUMIFS('כל ההוצאות'!$E:$E,'כל ההוצאות'!$B:$B,"Google Workspace",'כל ההוצאות'!$F:$F,"אוקטובר 2026")</f>
        <v/>
      </c>
      <c r="AH10" s="42">
        <f>SUMIFS('כל ההוצאות'!$D:$D,'כל ההוצאות'!$B:$B,"Google Workspace",'כל ההוצאות'!$F:$F,"נובמבר 2026")</f>
        <v/>
      </c>
      <c r="AI10" s="43">
        <f>SUMIFS('כל ההוצאות'!$E:$E,'כל ההוצאות'!$B:$B,"Google Workspace",'כל ההוצאות'!$F:$F,"נובמבר 2026")</f>
        <v/>
      </c>
      <c r="AJ10" s="42">
        <f>SUMIFS('כל ההוצאות'!$D:$D,'כל ההוצאות'!$B:$B,"Google Workspace",'כל ההוצאות'!$F:$F,"דצמבר 2026")</f>
        <v/>
      </c>
      <c r="AK10" s="43">
        <f>SUMIFS('כל ההוצאות'!$E:$E,'כל ההוצאות'!$B:$B,"Google Workspace",'כל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Hedra</t>
        </is>
      </c>
      <c r="B11" s="37">
        <f>SUMIFS('כל ההוצאות'!$D:$D,'כל ההוצאות'!$B:$B,"Hedra",'כל ההוצאות'!$F:$F,"יולי 2025")</f>
        <v/>
      </c>
      <c r="C11" s="38">
        <f>SUMIFS('כל ההוצאות'!$E:$E,'כל ההוצאות'!$B:$B,"Hedra",'כל ההוצאות'!$F:$F,"יולי 2025")</f>
        <v/>
      </c>
      <c r="D11" s="37">
        <f>SUMIFS('כל ההוצאות'!$D:$D,'כל ההוצאות'!$B:$B,"Hedra",'כל ההוצאות'!$F:$F,"אוגוסט 2025")</f>
        <v/>
      </c>
      <c r="E11" s="38">
        <f>SUMIFS('כל ההוצאות'!$E:$E,'כל ההוצאות'!$B:$B,"Hedra",'כל ההוצאות'!$F:$F,"אוגוסט 2025")</f>
        <v/>
      </c>
      <c r="F11" s="37">
        <f>SUMIFS('כל ההוצאות'!$D:$D,'כל ההוצאות'!$B:$B,"Hedra",'כל ההוצאות'!$F:$F,"ספטמבר 2025")</f>
        <v/>
      </c>
      <c r="G11" s="38">
        <f>SUMIFS('כל ההוצאות'!$E:$E,'כל ההוצאות'!$B:$B,"Hedra",'כל ההוצאות'!$F:$F,"ספטמבר 2025")</f>
        <v/>
      </c>
      <c r="H11" s="37">
        <f>SUMIFS('כל ההוצאות'!$D:$D,'כל ההוצאות'!$B:$B,"Hedra",'כל ההוצאות'!$F:$F,"אוקטובר 2025")</f>
        <v/>
      </c>
      <c r="I11" s="38">
        <f>SUMIFS('כל ההוצאות'!$E:$E,'כל ההוצאות'!$B:$B,"Hedra",'כל ההוצאות'!$F:$F,"אוקטובר 2025")</f>
        <v/>
      </c>
      <c r="J11" s="37">
        <f>SUMIFS('כל ההוצאות'!$D:$D,'כל ההוצאות'!$B:$B,"Hedra",'כל ההוצאות'!$F:$F,"נובמבר 2025")</f>
        <v/>
      </c>
      <c r="K11" s="38">
        <f>SUMIFS('כל ההוצאות'!$E:$E,'כל ההוצאות'!$B:$B,"Hedra",'כל ההוצאות'!$F:$F,"נובמבר 2025")</f>
        <v/>
      </c>
      <c r="L11" s="37">
        <f>SUMIFS('כל ההוצאות'!$D:$D,'כל ההוצאות'!$B:$B,"Hedra",'כל ההוצאות'!$F:$F,"דצמבר 2025")</f>
        <v/>
      </c>
      <c r="M11" s="38">
        <f>SUMIFS('כל ההוצאות'!$E:$E,'כל ההוצאות'!$B:$B,"Hedra",'כל ההוצאות'!$F:$F,"דצמבר 2025")</f>
        <v/>
      </c>
      <c r="N11" s="37">
        <f>SUMIFS('כל ההוצאות'!$D:$D,'כל ההוצאות'!$B:$B,"Hedra",'כל ההוצאות'!$F:$F,"ינואר 2026")</f>
        <v/>
      </c>
      <c r="O11" s="38">
        <f>SUMIFS('כל ההוצאות'!$E:$E,'כל ההוצאות'!$B:$B,"Hedra",'כל ההוצאות'!$F:$F,"ינואר 2026")</f>
        <v/>
      </c>
      <c r="P11" s="37">
        <f>SUMIFS('כל ההוצאות'!$D:$D,'כל ההוצאות'!$B:$B,"Hedra",'כל ההוצאות'!$F:$F,"פברואר 2026")</f>
        <v/>
      </c>
      <c r="Q11" s="38">
        <f>SUMIFS('כל ההוצאות'!$E:$E,'כל ההוצאות'!$B:$B,"Hedra",'כל ההוצאות'!$F:$F,"פברואר 2026")</f>
        <v/>
      </c>
      <c r="R11" s="37">
        <f>SUMIFS('כל ההוצאות'!$D:$D,'כל ההוצאות'!$B:$B,"Hedra",'כל ההוצאות'!$F:$F,"מרץ 2026")</f>
        <v/>
      </c>
      <c r="S11" s="38">
        <f>SUMIFS('כל ההוצאות'!$E:$E,'כל ההוצאות'!$B:$B,"Hedra",'כל ההוצאות'!$F:$F,"מרץ 2026")</f>
        <v/>
      </c>
      <c r="T11" s="37">
        <f>SUMIFS('כל ההוצאות'!$D:$D,'כל ההוצאות'!$B:$B,"Hedra",'כל ההוצאות'!$F:$F,"אפריל 2026")</f>
        <v/>
      </c>
      <c r="U11" s="38">
        <f>SUMIFS('כל ההוצאות'!$E:$E,'כל ההוצאות'!$B:$B,"Hedra",'כל ההוצאות'!$F:$F,"אפריל 2026")</f>
        <v/>
      </c>
      <c r="V11" s="37">
        <f>SUMIFS('כל ההוצאות'!$D:$D,'כל ההוצאות'!$B:$B,"Hedra",'כל ההוצאות'!$F:$F,"מאי 2026")</f>
        <v/>
      </c>
      <c r="W11" s="38">
        <f>SUMIFS('כל ההוצאות'!$E:$E,'כל ההוצאות'!$B:$B,"Hedra",'כל ההוצאות'!$F:$F,"מאי 2026")</f>
        <v/>
      </c>
      <c r="X11" s="37">
        <f>SUMIFS('כל ההוצאות'!$D:$D,'כל ההוצאות'!$B:$B,"Hedra",'כל ההוצאות'!$F:$F,"יוני 2026")</f>
        <v/>
      </c>
      <c r="Y11" s="38">
        <f>SUMIFS('כל ההוצאות'!$E:$E,'כל ההוצאות'!$B:$B,"Hedra",'כל ההוצאות'!$F:$F,"יוני 2026")</f>
        <v/>
      </c>
      <c r="Z11" s="37">
        <f>SUMIFS('כל ההוצאות'!$D:$D,'כל ההוצאות'!$B:$B,"Hedra",'כל ההוצאות'!$F:$F,"יולי 2026")</f>
        <v/>
      </c>
      <c r="AA11" s="38">
        <f>SUMIFS('כל ההוצאות'!$E:$E,'כל ההוצאות'!$B:$B,"Hedra",'כל ההוצאות'!$F:$F,"יולי 2026")</f>
        <v/>
      </c>
      <c r="AB11" s="37">
        <f>SUMIFS('כל ההוצאות'!$D:$D,'כל ההוצאות'!$B:$B,"Hedra",'כל ההוצאות'!$F:$F,"אוגוסט 2026")</f>
        <v/>
      </c>
      <c r="AC11" s="38">
        <f>SUMIFS('כל ההוצאות'!$E:$E,'כל ההוצאות'!$B:$B,"Hedra",'כל ההוצאות'!$F:$F,"אוגוסט 2026")</f>
        <v/>
      </c>
      <c r="AD11" s="37">
        <f>SUMIFS('כל ההוצאות'!$D:$D,'כל ההוצאות'!$B:$B,"Hedra",'כל ההוצאות'!$F:$F,"ספטמבר 2026")</f>
        <v/>
      </c>
      <c r="AE11" s="38">
        <f>SUMIFS('כל ההוצאות'!$E:$E,'כל ההוצאות'!$B:$B,"Hedra",'כל ההוצאות'!$F:$F,"ספטמבר 2026")</f>
        <v/>
      </c>
      <c r="AF11" s="37">
        <f>SUMIFS('כל ההוצאות'!$D:$D,'כל ההוצאות'!$B:$B,"Hedra",'כל ההוצאות'!$F:$F,"אוקטובר 2026")</f>
        <v/>
      </c>
      <c r="AG11" s="38">
        <f>SUMIFS('כל ההוצאות'!$E:$E,'כל ההוצאות'!$B:$B,"Hedra",'כל ההוצאות'!$F:$F,"אוקטובר 2026")</f>
        <v/>
      </c>
      <c r="AH11" s="37">
        <f>SUMIFS('כל ההוצאות'!$D:$D,'כל ההוצאות'!$B:$B,"Hedra",'כל ההוצאות'!$F:$F,"נובמבר 2026")</f>
        <v/>
      </c>
      <c r="AI11" s="38">
        <f>SUMIFS('כל ההוצאות'!$E:$E,'כל ההוצאות'!$B:$B,"Hedra",'כל ההוצאות'!$F:$F,"נובמבר 2026")</f>
        <v/>
      </c>
      <c r="AJ11" s="37">
        <f>SUMIFS('כל ההוצאות'!$D:$D,'כל ההוצאות'!$B:$B,"Hedra",'כל ההוצאות'!$F:$F,"דצמבר 2026")</f>
        <v/>
      </c>
      <c r="AK11" s="38">
        <f>SUMIFS('כל ההוצאות'!$E:$E,'כל ההוצאות'!$B:$B,"Hedra",'כל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Higgsfield</t>
        </is>
      </c>
      <c r="B12" s="42">
        <f>SUMIFS('כל ההוצאות'!$D:$D,'כל ההוצאות'!$B:$B,"Higgsfield",'כל ההוצאות'!$F:$F,"יולי 2025")</f>
        <v/>
      </c>
      <c r="C12" s="43">
        <f>SUMIFS('כל ההוצאות'!$E:$E,'כל ההוצאות'!$B:$B,"Higgsfield",'כל ההוצאות'!$F:$F,"יולי 2025")</f>
        <v/>
      </c>
      <c r="D12" s="42">
        <f>SUMIFS('כל ההוצאות'!$D:$D,'כל ההוצאות'!$B:$B,"Higgsfield",'כל ההוצאות'!$F:$F,"אוגוסט 2025")</f>
        <v/>
      </c>
      <c r="E12" s="43">
        <f>SUMIFS('כל ההוצאות'!$E:$E,'כל ההוצאות'!$B:$B,"Higgsfield",'כל ההוצאות'!$F:$F,"אוגוסט 2025")</f>
        <v/>
      </c>
      <c r="F12" s="42">
        <f>SUMIFS('כל ההוצאות'!$D:$D,'כל ההוצאות'!$B:$B,"Higgsfield",'כל ההוצאות'!$F:$F,"ספטמבר 2025")</f>
        <v/>
      </c>
      <c r="G12" s="43">
        <f>SUMIFS('כל ההוצאות'!$E:$E,'כל ההוצאות'!$B:$B,"Higgsfield",'כל ההוצאות'!$F:$F,"ספטמבר 2025")</f>
        <v/>
      </c>
      <c r="H12" s="42">
        <f>SUMIFS('כל ההוצאות'!$D:$D,'כל ההוצאות'!$B:$B,"Higgsfield",'כל ההוצאות'!$F:$F,"אוקטובר 2025")</f>
        <v/>
      </c>
      <c r="I12" s="43">
        <f>SUMIFS('כל ההוצאות'!$E:$E,'כל ההוצאות'!$B:$B,"Higgsfield",'כל ההוצאות'!$F:$F,"אוקטובר 2025")</f>
        <v/>
      </c>
      <c r="J12" s="42">
        <f>SUMIFS('כל ההוצאות'!$D:$D,'כל ההוצאות'!$B:$B,"Higgsfield",'כל ההוצאות'!$F:$F,"נובמבר 2025")</f>
        <v/>
      </c>
      <c r="K12" s="43">
        <f>SUMIFS('כל ההוצאות'!$E:$E,'כל ההוצאות'!$B:$B,"Higgsfield",'כל ההוצאות'!$F:$F,"נובמבר 2025")</f>
        <v/>
      </c>
      <c r="L12" s="42">
        <f>SUMIFS('כל ההוצאות'!$D:$D,'כל ההוצאות'!$B:$B,"Higgsfield",'כל ההוצאות'!$F:$F,"דצמבר 2025")</f>
        <v/>
      </c>
      <c r="M12" s="43">
        <f>SUMIFS('כל ההוצאות'!$E:$E,'כל ההוצאות'!$B:$B,"Higgsfield",'כל ההוצאות'!$F:$F,"דצמבר 2025")</f>
        <v/>
      </c>
      <c r="N12" s="42">
        <f>SUMIFS('כל ההוצאות'!$D:$D,'כל ההוצאות'!$B:$B,"Higgsfield",'כל ההוצאות'!$F:$F,"ינואר 2026")</f>
        <v/>
      </c>
      <c r="O12" s="43">
        <f>SUMIFS('כל ההוצאות'!$E:$E,'כל ההוצאות'!$B:$B,"Higgsfield",'כל ההוצאות'!$F:$F,"ינואר 2026")</f>
        <v/>
      </c>
      <c r="P12" s="42">
        <f>SUMIFS('כל ההוצאות'!$D:$D,'כל ההוצאות'!$B:$B,"Higgsfield",'כל ההוצאות'!$F:$F,"פברואר 2026")</f>
        <v/>
      </c>
      <c r="Q12" s="43">
        <f>SUMIFS('כל ההוצאות'!$E:$E,'כל ההוצאות'!$B:$B,"Higgsfield",'כל ההוצאות'!$F:$F,"פברואר 2026")</f>
        <v/>
      </c>
      <c r="R12" s="42">
        <f>SUMIFS('כל ההוצאות'!$D:$D,'כל ההוצאות'!$B:$B,"Higgsfield",'כל ההוצאות'!$F:$F,"מרץ 2026")</f>
        <v/>
      </c>
      <c r="S12" s="43">
        <f>SUMIFS('כל ההוצאות'!$E:$E,'כל ההוצאות'!$B:$B,"Higgsfield",'כל ההוצאות'!$F:$F,"מרץ 2026")</f>
        <v/>
      </c>
      <c r="T12" s="42">
        <f>SUMIFS('כל ההוצאות'!$D:$D,'כל ההוצאות'!$B:$B,"Higgsfield",'כל ההוצאות'!$F:$F,"אפריל 2026")</f>
        <v/>
      </c>
      <c r="U12" s="43">
        <f>SUMIFS('כל ההוצאות'!$E:$E,'כל ההוצאות'!$B:$B,"Higgsfield",'כל ההוצאות'!$F:$F,"אפריל 2026")</f>
        <v/>
      </c>
      <c r="V12" s="42">
        <f>SUMIFS('כל ההוצאות'!$D:$D,'כל ההוצאות'!$B:$B,"Higgsfield",'כל ההוצאות'!$F:$F,"מאי 2026")</f>
        <v/>
      </c>
      <c r="W12" s="43">
        <f>SUMIFS('כל ההוצאות'!$E:$E,'כל ההוצאות'!$B:$B,"Higgsfield",'כל ההוצאות'!$F:$F,"מאי 2026")</f>
        <v/>
      </c>
      <c r="X12" s="42">
        <f>SUMIFS('כל ההוצאות'!$D:$D,'כל ההוצאות'!$B:$B,"Higgsfield",'כל ההוצאות'!$F:$F,"יוני 2026")</f>
        <v/>
      </c>
      <c r="Y12" s="43">
        <f>SUMIFS('כל ההוצאות'!$E:$E,'כל ההוצאות'!$B:$B,"Higgsfield",'כל ההוצאות'!$F:$F,"יוני 2026")</f>
        <v/>
      </c>
      <c r="Z12" s="42">
        <f>SUMIFS('כל ההוצאות'!$D:$D,'כל ההוצאות'!$B:$B,"Higgsfield",'כל ההוצאות'!$F:$F,"יולי 2026")</f>
        <v/>
      </c>
      <c r="AA12" s="43">
        <f>SUMIFS('כל ההוצאות'!$E:$E,'כל ההוצאות'!$B:$B,"Higgsfield",'כל ההוצאות'!$F:$F,"יולי 2026")</f>
        <v/>
      </c>
      <c r="AB12" s="42">
        <f>SUMIFS('כל ההוצאות'!$D:$D,'כל ההוצאות'!$B:$B,"Higgsfield",'כל ההוצאות'!$F:$F,"אוגוסט 2026")</f>
        <v/>
      </c>
      <c r="AC12" s="43">
        <f>SUMIFS('כל ההוצאות'!$E:$E,'כל ההוצאות'!$B:$B,"Higgsfield",'כל ההוצאות'!$F:$F,"אוגוסט 2026")</f>
        <v/>
      </c>
      <c r="AD12" s="42">
        <f>SUMIFS('כל ההוצאות'!$D:$D,'כל ההוצאות'!$B:$B,"Higgsfield",'כל ההוצאות'!$F:$F,"ספטמבר 2026")</f>
        <v/>
      </c>
      <c r="AE12" s="43">
        <f>SUMIFS('כל ההוצאות'!$E:$E,'כל ההוצאות'!$B:$B,"Higgsfield",'כל ההוצאות'!$F:$F,"ספטמבר 2026")</f>
        <v/>
      </c>
      <c r="AF12" s="42">
        <f>SUMIFS('כל ההוצאות'!$D:$D,'כל ההוצאות'!$B:$B,"Higgsfield",'כל ההוצאות'!$F:$F,"אוקטובר 2026")</f>
        <v/>
      </c>
      <c r="AG12" s="43">
        <f>SUMIFS('כל ההוצאות'!$E:$E,'כל ההוצאות'!$B:$B,"Higgsfield",'כל ההוצאות'!$F:$F,"אוקטובר 2026")</f>
        <v/>
      </c>
      <c r="AH12" s="42">
        <f>SUMIFS('כל ההוצאות'!$D:$D,'כל ההוצאות'!$B:$B,"Higgsfield",'כל ההוצאות'!$F:$F,"נובמבר 2026")</f>
        <v/>
      </c>
      <c r="AI12" s="43">
        <f>SUMIFS('כל ההוצאות'!$E:$E,'כל ההוצאות'!$B:$B,"Higgsfield",'כל ההוצאות'!$F:$F,"נובמבר 2026")</f>
        <v/>
      </c>
      <c r="AJ12" s="42">
        <f>SUMIFS('כל ההוצאות'!$D:$D,'כל ההוצאות'!$B:$B,"Higgsfield",'כל ההוצאות'!$F:$F,"דצמבר 2026")</f>
        <v/>
      </c>
      <c r="AK12" s="43">
        <f>SUMIFS('כל ההוצאות'!$E:$E,'כל ההוצאות'!$B:$B,"Higgsfield",'כל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IONOS</t>
        </is>
      </c>
      <c r="B13" s="37">
        <f>SUMIFS('כל ההוצאות'!$D:$D,'כל ההוצאות'!$B:$B,"IONOS",'כל ההוצאות'!$F:$F,"יולי 2025")</f>
        <v/>
      </c>
      <c r="C13" s="38">
        <f>SUMIFS('כל ההוצאות'!$E:$E,'כל ההוצאות'!$B:$B,"IONOS",'כל ההוצאות'!$F:$F,"יולי 2025")</f>
        <v/>
      </c>
      <c r="D13" s="37">
        <f>SUMIFS('כל ההוצאות'!$D:$D,'כל ההוצאות'!$B:$B,"IONOS",'כל ההוצאות'!$F:$F,"אוגוסט 2025")</f>
        <v/>
      </c>
      <c r="E13" s="38">
        <f>SUMIFS('כל ההוצאות'!$E:$E,'כל ההוצאות'!$B:$B,"IONOS",'כל ההוצאות'!$F:$F,"אוגוסט 2025")</f>
        <v/>
      </c>
      <c r="F13" s="37">
        <f>SUMIFS('כל ההוצאות'!$D:$D,'כל ההוצאות'!$B:$B,"IONOS",'כל ההוצאות'!$F:$F,"ספטמבר 2025")</f>
        <v/>
      </c>
      <c r="G13" s="38">
        <f>SUMIFS('כל ההוצאות'!$E:$E,'כל ההוצאות'!$B:$B,"IONOS",'כל ההוצאות'!$F:$F,"ספטמבר 2025")</f>
        <v/>
      </c>
      <c r="H13" s="37">
        <f>SUMIFS('כל ההוצאות'!$D:$D,'כל ההוצאות'!$B:$B,"IONOS",'כל ההוצאות'!$F:$F,"אוקטובר 2025")</f>
        <v/>
      </c>
      <c r="I13" s="38">
        <f>SUMIFS('כל ההוצאות'!$E:$E,'כל ההוצאות'!$B:$B,"IONOS",'כל ההוצאות'!$F:$F,"אוקטובר 2025")</f>
        <v/>
      </c>
      <c r="J13" s="37">
        <f>SUMIFS('כל ההוצאות'!$D:$D,'כל ההוצאות'!$B:$B,"IONOS",'כל ההוצאות'!$F:$F,"נובמבר 2025")</f>
        <v/>
      </c>
      <c r="K13" s="38">
        <f>SUMIFS('כל ההוצאות'!$E:$E,'כל ההוצאות'!$B:$B,"IONOS",'כל ההוצאות'!$F:$F,"נובמבר 2025")</f>
        <v/>
      </c>
      <c r="L13" s="37">
        <f>SUMIFS('כל ההוצאות'!$D:$D,'כל ההוצאות'!$B:$B,"IONOS",'כל ההוצאות'!$F:$F,"דצמבר 2025")</f>
        <v/>
      </c>
      <c r="M13" s="38">
        <f>SUMIFS('כל ההוצאות'!$E:$E,'כל ההוצאות'!$B:$B,"IONOS",'כל ההוצאות'!$F:$F,"דצמבר 2025")</f>
        <v/>
      </c>
      <c r="N13" s="37">
        <f>SUMIFS('כל ההוצאות'!$D:$D,'כל ההוצאות'!$B:$B,"IONOS",'כל ההוצאות'!$F:$F,"ינואר 2026")</f>
        <v/>
      </c>
      <c r="O13" s="38">
        <f>SUMIFS('כל ההוצאות'!$E:$E,'כל ההוצאות'!$B:$B,"IONOS",'כל ההוצאות'!$F:$F,"ינואר 2026")</f>
        <v/>
      </c>
      <c r="P13" s="37">
        <f>SUMIFS('כל ההוצאות'!$D:$D,'כל ההוצאות'!$B:$B,"IONOS",'כל ההוצאות'!$F:$F,"פברואר 2026")</f>
        <v/>
      </c>
      <c r="Q13" s="38">
        <f>SUMIFS('כל ההוצאות'!$E:$E,'כל ההוצאות'!$B:$B,"IONOS",'כל ההוצאות'!$F:$F,"פברואר 2026")</f>
        <v/>
      </c>
      <c r="R13" s="37">
        <f>SUMIFS('כל ההוצאות'!$D:$D,'כל ההוצאות'!$B:$B,"IONOS",'כל ההוצאות'!$F:$F,"מרץ 2026")</f>
        <v/>
      </c>
      <c r="S13" s="38">
        <f>SUMIFS('כל ההוצאות'!$E:$E,'כל ההוצאות'!$B:$B,"IONOS",'כל ההוצאות'!$F:$F,"מרץ 2026")</f>
        <v/>
      </c>
      <c r="T13" s="37">
        <f>SUMIFS('כל ההוצאות'!$D:$D,'כל ההוצאות'!$B:$B,"IONOS",'כל ההוצאות'!$F:$F,"אפריל 2026")</f>
        <v/>
      </c>
      <c r="U13" s="38">
        <f>SUMIFS('כל ההוצאות'!$E:$E,'כל ההוצאות'!$B:$B,"IONOS",'כל ההוצאות'!$F:$F,"אפריל 2026")</f>
        <v/>
      </c>
      <c r="V13" s="37">
        <f>SUMIFS('כל ההוצאות'!$D:$D,'כל ההוצאות'!$B:$B,"IONOS",'כל ההוצאות'!$F:$F,"מאי 2026")</f>
        <v/>
      </c>
      <c r="W13" s="38">
        <f>SUMIFS('כל ההוצאות'!$E:$E,'כל ההוצאות'!$B:$B,"IONOS",'כל ההוצאות'!$F:$F,"מאי 2026")</f>
        <v/>
      </c>
      <c r="X13" s="37">
        <f>SUMIFS('כל ההוצאות'!$D:$D,'כל ההוצאות'!$B:$B,"IONOS",'כל ההוצאות'!$F:$F,"יוני 2026")</f>
        <v/>
      </c>
      <c r="Y13" s="38">
        <f>SUMIFS('כל ההוצאות'!$E:$E,'כל ההוצאות'!$B:$B,"IONOS",'כל ההוצאות'!$F:$F,"יוני 2026")</f>
        <v/>
      </c>
      <c r="Z13" s="37">
        <f>SUMIFS('כל ההוצאות'!$D:$D,'כל ההוצאות'!$B:$B,"IONOS",'כל ההוצאות'!$F:$F,"יולי 2026")</f>
        <v/>
      </c>
      <c r="AA13" s="38">
        <f>SUMIFS('כל ההוצאות'!$E:$E,'כל ההוצאות'!$B:$B,"IONOS",'כל ההוצאות'!$F:$F,"יולי 2026")</f>
        <v/>
      </c>
      <c r="AB13" s="37">
        <f>SUMIFS('כל ההוצאות'!$D:$D,'כל ההוצאות'!$B:$B,"IONOS",'כל ההוצאות'!$F:$F,"אוגוסט 2026")</f>
        <v/>
      </c>
      <c r="AC13" s="38">
        <f>SUMIFS('כל ההוצאות'!$E:$E,'כל ההוצאות'!$B:$B,"IONOS",'כל ההוצאות'!$F:$F,"אוגוסט 2026")</f>
        <v/>
      </c>
      <c r="AD13" s="37">
        <f>SUMIFS('כל ההוצאות'!$D:$D,'כל ההוצאות'!$B:$B,"IONOS",'כל ההוצאות'!$F:$F,"ספטמבר 2026")</f>
        <v/>
      </c>
      <c r="AE13" s="38">
        <f>SUMIFS('כל ההוצאות'!$E:$E,'כל ההוצאות'!$B:$B,"IONOS",'כל ההוצאות'!$F:$F,"ספטמבר 2026")</f>
        <v/>
      </c>
      <c r="AF13" s="37">
        <f>SUMIFS('כל ההוצאות'!$D:$D,'כל ההוצאות'!$B:$B,"IONOS",'כל ההוצאות'!$F:$F,"אוקטובר 2026")</f>
        <v/>
      </c>
      <c r="AG13" s="38">
        <f>SUMIFS('כל ההוצאות'!$E:$E,'כל ההוצאות'!$B:$B,"IONOS",'כל ההוצאות'!$F:$F,"אוקטובר 2026")</f>
        <v/>
      </c>
      <c r="AH13" s="37">
        <f>SUMIFS('כל ההוצאות'!$D:$D,'כל ההוצאות'!$B:$B,"IONOS",'כל ההוצאות'!$F:$F,"נובמבר 2026")</f>
        <v/>
      </c>
      <c r="AI13" s="38">
        <f>SUMIFS('כל ההוצאות'!$E:$E,'כל ההוצאות'!$B:$B,"IONOS",'כל ההוצאות'!$F:$F,"נובמבר 2026")</f>
        <v/>
      </c>
      <c r="AJ13" s="37">
        <f>SUMIFS('כל ההוצאות'!$D:$D,'כל ההוצאות'!$B:$B,"IONOS",'כל ההוצאות'!$F:$F,"דצמבר 2026")</f>
        <v/>
      </c>
      <c r="AK13" s="38">
        <f>SUMIFS('כל ההוצאות'!$E:$E,'כל ההוצאות'!$B:$B,"IONOS",'כל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Ideogram AI</t>
        </is>
      </c>
      <c r="B14" s="42">
        <f>SUMIFS('כל ההוצאות'!$D:$D,'כל ההוצאות'!$B:$B,"Ideogram AI",'כל ההוצאות'!$F:$F,"יולי 2025")</f>
        <v/>
      </c>
      <c r="C14" s="43">
        <f>SUMIFS('כל ההוצאות'!$E:$E,'כל ההוצאות'!$B:$B,"Ideogram AI",'כל ההוצאות'!$F:$F,"יולי 2025")</f>
        <v/>
      </c>
      <c r="D14" s="42">
        <f>SUMIFS('כל ההוצאות'!$D:$D,'כל ההוצאות'!$B:$B,"Ideogram AI",'כל ההוצאות'!$F:$F,"אוגוסט 2025")</f>
        <v/>
      </c>
      <c r="E14" s="43">
        <f>SUMIFS('כל ההוצאות'!$E:$E,'כל ההוצאות'!$B:$B,"Ideogram AI",'כל ההוצאות'!$F:$F,"אוגוסט 2025")</f>
        <v/>
      </c>
      <c r="F14" s="42">
        <f>SUMIFS('כל ההוצאות'!$D:$D,'כל ההוצאות'!$B:$B,"Ideogram AI",'כל ההוצאות'!$F:$F,"ספטמבר 2025")</f>
        <v/>
      </c>
      <c r="G14" s="43">
        <f>SUMIFS('כל ההוצאות'!$E:$E,'כל ההוצאות'!$B:$B,"Ideogram AI",'כל ההוצאות'!$F:$F,"ספטמבר 2025")</f>
        <v/>
      </c>
      <c r="H14" s="42">
        <f>SUMIFS('כל ההוצאות'!$D:$D,'כל ההוצאות'!$B:$B,"Ideogram AI",'כל ההוצאות'!$F:$F,"אוקטובר 2025")</f>
        <v/>
      </c>
      <c r="I14" s="43">
        <f>SUMIFS('כל ההוצאות'!$E:$E,'כל ההוצאות'!$B:$B,"Ideogram AI",'כל ההוצאות'!$F:$F,"אוקטובר 2025")</f>
        <v/>
      </c>
      <c r="J14" s="42">
        <f>SUMIFS('כל ההוצאות'!$D:$D,'כל ההוצאות'!$B:$B,"Ideogram AI",'כל ההוצאות'!$F:$F,"נובמבר 2025")</f>
        <v/>
      </c>
      <c r="K14" s="43">
        <f>SUMIFS('כל ההוצאות'!$E:$E,'כל ההוצאות'!$B:$B,"Ideogram AI",'כל ההוצאות'!$F:$F,"נובמבר 2025")</f>
        <v/>
      </c>
      <c r="L14" s="42">
        <f>SUMIFS('כל ההוצאות'!$D:$D,'כל ההוצאות'!$B:$B,"Ideogram AI",'כל ההוצאות'!$F:$F,"דצמבר 2025")</f>
        <v/>
      </c>
      <c r="M14" s="43">
        <f>SUMIFS('כל ההוצאות'!$E:$E,'כל ההוצאות'!$B:$B,"Ideogram AI",'כל ההוצאות'!$F:$F,"דצמבר 2025")</f>
        <v/>
      </c>
      <c r="N14" s="42">
        <f>SUMIFS('כל ההוצאות'!$D:$D,'כל ההוצאות'!$B:$B,"Ideogram AI",'כל ההוצאות'!$F:$F,"ינואר 2026")</f>
        <v/>
      </c>
      <c r="O14" s="43">
        <f>SUMIFS('כל ההוצאות'!$E:$E,'כל ההוצאות'!$B:$B,"Ideogram AI",'כל ההוצאות'!$F:$F,"ינואר 2026")</f>
        <v/>
      </c>
      <c r="P14" s="42">
        <f>SUMIFS('כל ההוצאות'!$D:$D,'כל ההוצאות'!$B:$B,"Ideogram AI",'כל ההוצאות'!$F:$F,"פברואר 2026")</f>
        <v/>
      </c>
      <c r="Q14" s="43">
        <f>SUMIFS('כל ההוצאות'!$E:$E,'כל ההוצאות'!$B:$B,"Ideogram AI",'כל ההוצאות'!$F:$F,"פברואר 2026")</f>
        <v/>
      </c>
      <c r="R14" s="42">
        <f>SUMIFS('כל ההוצאות'!$D:$D,'כל ההוצאות'!$B:$B,"Ideogram AI",'כל ההוצאות'!$F:$F,"מרץ 2026")</f>
        <v/>
      </c>
      <c r="S14" s="43">
        <f>SUMIFS('כל ההוצאות'!$E:$E,'כל ההוצאות'!$B:$B,"Ideogram AI",'כל ההוצאות'!$F:$F,"מרץ 2026")</f>
        <v/>
      </c>
      <c r="T14" s="42">
        <f>SUMIFS('כל ההוצאות'!$D:$D,'כל ההוצאות'!$B:$B,"Ideogram AI",'כל ההוצאות'!$F:$F,"אפריל 2026")</f>
        <v/>
      </c>
      <c r="U14" s="43">
        <f>SUMIFS('כל ההוצאות'!$E:$E,'כל ההוצאות'!$B:$B,"Ideogram AI",'כל ההוצאות'!$F:$F,"אפריל 2026")</f>
        <v/>
      </c>
      <c r="V14" s="42">
        <f>SUMIFS('כל ההוצאות'!$D:$D,'כל ההוצאות'!$B:$B,"Ideogram AI",'כל ההוצאות'!$F:$F,"מאי 2026")</f>
        <v/>
      </c>
      <c r="W14" s="43">
        <f>SUMIFS('כל ההוצאות'!$E:$E,'כל ההוצאות'!$B:$B,"Ideogram AI",'כל ההוצאות'!$F:$F,"מאי 2026")</f>
        <v/>
      </c>
      <c r="X14" s="42">
        <f>SUMIFS('כל ההוצאות'!$D:$D,'כל ההוצאות'!$B:$B,"Ideogram AI",'כל ההוצאות'!$F:$F,"יוני 2026")</f>
        <v/>
      </c>
      <c r="Y14" s="43">
        <f>SUMIFS('כל ההוצאות'!$E:$E,'כל ההוצאות'!$B:$B,"Ideogram AI",'כל ההוצאות'!$F:$F,"יוני 2026")</f>
        <v/>
      </c>
      <c r="Z14" s="42">
        <f>SUMIFS('כל ההוצאות'!$D:$D,'כל ההוצאות'!$B:$B,"Ideogram AI",'כל ההוצאות'!$F:$F,"יולי 2026")</f>
        <v/>
      </c>
      <c r="AA14" s="43">
        <f>SUMIFS('כל ההוצאות'!$E:$E,'כל ההוצאות'!$B:$B,"Ideogram AI",'כל ההוצאות'!$F:$F,"יולי 2026")</f>
        <v/>
      </c>
      <c r="AB14" s="42">
        <f>SUMIFS('כל ההוצאות'!$D:$D,'כל ההוצאות'!$B:$B,"Ideogram AI",'כל ההוצאות'!$F:$F,"אוגוסט 2026")</f>
        <v/>
      </c>
      <c r="AC14" s="43">
        <f>SUMIFS('כל ההוצאות'!$E:$E,'כל ההוצאות'!$B:$B,"Ideogram AI",'כל ההוצאות'!$F:$F,"אוגוסט 2026")</f>
        <v/>
      </c>
      <c r="AD14" s="42">
        <f>SUMIFS('כל ההוצאות'!$D:$D,'כל ההוצאות'!$B:$B,"Ideogram AI",'כל ההוצאות'!$F:$F,"ספטמבר 2026")</f>
        <v/>
      </c>
      <c r="AE14" s="43">
        <f>SUMIFS('כל ההוצאות'!$E:$E,'כל ההוצאות'!$B:$B,"Ideogram AI",'כל ההוצאות'!$F:$F,"ספטמבר 2026")</f>
        <v/>
      </c>
      <c r="AF14" s="42">
        <f>SUMIFS('כל ההוצאות'!$D:$D,'כל ההוצאות'!$B:$B,"Ideogram AI",'כל ההוצאות'!$F:$F,"אוקטובר 2026")</f>
        <v/>
      </c>
      <c r="AG14" s="43">
        <f>SUMIFS('כל ההוצאות'!$E:$E,'כל ההוצאות'!$B:$B,"Ideogram AI",'כל ההוצאות'!$F:$F,"אוקטובר 2026")</f>
        <v/>
      </c>
      <c r="AH14" s="42">
        <f>SUMIFS('כל ההוצאות'!$D:$D,'כל ההוצאות'!$B:$B,"Ideogram AI",'כל ההוצאות'!$F:$F,"נובמבר 2026")</f>
        <v/>
      </c>
      <c r="AI14" s="43">
        <f>SUMIFS('כל ההוצאות'!$E:$E,'כל ההוצאות'!$B:$B,"Ideogram AI",'כל ההוצאות'!$F:$F,"נובמבר 2026")</f>
        <v/>
      </c>
      <c r="AJ14" s="42">
        <f>SUMIFS('כל ההוצאות'!$D:$D,'כל ההוצאות'!$B:$B,"Ideogram AI",'כל ההוצאות'!$F:$F,"דצמבר 2026")</f>
        <v/>
      </c>
      <c r="AK14" s="43">
        <f>SUMIFS('כל ההוצאות'!$E:$E,'כל ההוצאות'!$B:$B,"Ideogram AI",'כל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Lovable</t>
        </is>
      </c>
      <c r="B15" s="37">
        <f>SUMIFS('כל ההוצאות'!$D:$D,'כל ההוצאות'!$B:$B,"Lovable",'כל ההוצאות'!$F:$F,"יולי 2025")</f>
        <v/>
      </c>
      <c r="C15" s="38">
        <f>SUMIFS('כל ההוצאות'!$E:$E,'כל ההוצאות'!$B:$B,"Lovable",'כל ההוצאות'!$F:$F,"יולי 2025")</f>
        <v/>
      </c>
      <c r="D15" s="37">
        <f>SUMIFS('כל ההוצאות'!$D:$D,'כל ההוצאות'!$B:$B,"Lovable",'כל ההוצאות'!$F:$F,"אוגוסט 2025")</f>
        <v/>
      </c>
      <c r="E15" s="38">
        <f>SUMIFS('כל ההוצאות'!$E:$E,'כל ההוצאות'!$B:$B,"Lovable",'כל ההוצאות'!$F:$F,"אוגוסט 2025")</f>
        <v/>
      </c>
      <c r="F15" s="37">
        <f>SUMIFS('כל ההוצאות'!$D:$D,'כל ההוצאות'!$B:$B,"Lovable",'כל ההוצאות'!$F:$F,"ספטמבר 2025")</f>
        <v/>
      </c>
      <c r="G15" s="38">
        <f>SUMIFS('כל ההוצאות'!$E:$E,'כל ההוצאות'!$B:$B,"Lovable",'כל ההוצאות'!$F:$F,"ספטמבר 2025")</f>
        <v/>
      </c>
      <c r="H15" s="37">
        <f>SUMIFS('כל ההוצאות'!$D:$D,'כל ההוצאות'!$B:$B,"Lovable",'כל ההוצאות'!$F:$F,"אוקטובר 2025")</f>
        <v/>
      </c>
      <c r="I15" s="38">
        <f>SUMIFS('כל ההוצאות'!$E:$E,'כל ההוצאות'!$B:$B,"Lovable",'כל ההוצאות'!$F:$F,"אוקטובר 2025")</f>
        <v/>
      </c>
      <c r="J15" s="37">
        <f>SUMIFS('כל ההוצאות'!$D:$D,'כל ההוצאות'!$B:$B,"Lovable",'כל ההוצאות'!$F:$F,"נובמבר 2025")</f>
        <v/>
      </c>
      <c r="K15" s="38">
        <f>SUMIFS('כל ההוצאות'!$E:$E,'כל ההוצאות'!$B:$B,"Lovable",'כל ההוצאות'!$F:$F,"נובמבר 2025")</f>
        <v/>
      </c>
      <c r="L15" s="37">
        <f>SUMIFS('כל ההוצאות'!$D:$D,'כל ההוצאות'!$B:$B,"Lovable",'כל ההוצאות'!$F:$F,"דצמבר 2025")</f>
        <v/>
      </c>
      <c r="M15" s="38">
        <f>SUMIFS('כל ההוצאות'!$E:$E,'כל ההוצאות'!$B:$B,"Lovable",'כל ההוצאות'!$F:$F,"דצמבר 2025")</f>
        <v/>
      </c>
      <c r="N15" s="37">
        <f>SUMIFS('כל ההוצאות'!$D:$D,'כל ההוצאות'!$B:$B,"Lovable",'כל ההוצאות'!$F:$F,"ינואר 2026")</f>
        <v/>
      </c>
      <c r="O15" s="38">
        <f>SUMIFS('כל ההוצאות'!$E:$E,'כל ההוצאות'!$B:$B,"Lovable",'כל ההוצאות'!$F:$F,"ינואר 2026")</f>
        <v/>
      </c>
      <c r="P15" s="37">
        <f>SUMIFS('כל ההוצאות'!$D:$D,'כל ההוצאות'!$B:$B,"Lovable",'כל ההוצאות'!$F:$F,"פברואר 2026")</f>
        <v/>
      </c>
      <c r="Q15" s="38">
        <f>SUMIFS('כל ההוצאות'!$E:$E,'כל ההוצאות'!$B:$B,"Lovable",'כל ההוצאות'!$F:$F,"פברואר 2026")</f>
        <v/>
      </c>
      <c r="R15" s="37">
        <f>SUMIFS('כל ההוצאות'!$D:$D,'כל ההוצאות'!$B:$B,"Lovable",'כל ההוצאות'!$F:$F,"מרץ 2026")</f>
        <v/>
      </c>
      <c r="S15" s="38">
        <f>SUMIFS('כל ההוצאות'!$E:$E,'כל ההוצאות'!$B:$B,"Lovable",'כל ההוצאות'!$F:$F,"מרץ 2026")</f>
        <v/>
      </c>
      <c r="T15" s="37">
        <f>SUMIFS('כל ההוצאות'!$D:$D,'כל ההוצאות'!$B:$B,"Lovable",'כל ההוצאות'!$F:$F,"אפריל 2026")</f>
        <v/>
      </c>
      <c r="U15" s="38">
        <f>SUMIFS('כל ההוצאות'!$E:$E,'כל ההוצאות'!$B:$B,"Lovable",'כל ההוצאות'!$F:$F,"אפריל 2026")</f>
        <v/>
      </c>
      <c r="V15" s="37">
        <f>SUMIFS('כל ההוצאות'!$D:$D,'כל ההוצאות'!$B:$B,"Lovable",'כל ההוצאות'!$F:$F,"מאי 2026")</f>
        <v/>
      </c>
      <c r="W15" s="38">
        <f>SUMIFS('כל ההוצאות'!$E:$E,'כל ההוצאות'!$B:$B,"Lovable",'כל ההוצאות'!$F:$F,"מאי 2026")</f>
        <v/>
      </c>
      <c r="X15" s="37">
        <f>SUMIFS('כל ההוצאות'!$D:$D,'כל ההוצאות'!$B:$B,"Lovable",'כל ההוצאות'!$F:$F,"יוני 2026")</f>
        <v/>
      </c>
      <c r="Y15" s="38">
        <f>SUMIFS('כל ההוצאות'!$E:$E,'כל ההוצאות'!$B:$B,"Lovable",'כל ההוצאות'!$F:$F,"יוני 2026")</f>
        <v/>
      </c>
      <c r="Z15" s="37">
        <f>SUMIFS('כל ההוצאות'!$D:$D,'כל ההוצאות'!$B:$B,"Lovable",'כל ההוצאות'!$F:$F,"יולי 2026")</f>
        <v/>
      </c>
      <c r="AA15" s="38">
        <f>SUMIFS('כל ההוצאות'!$E:$E,'כל ההוצאות'!$B:$B,"Lovable",'כל ההוצאות'!$F:$F,"יולי 2026")</f>
        <v/>
      </c>
      <c r="AB15" s="37">
        <f>SUMIFS('כל ההוצאות'!$D:$D,'כל ההוצאות'!$B:$B,"Lovable",'כל ההוצאות'!$F:$F,"אוגוסט 2026")</f>
        <v/>
      </c>
      <c r="AC15" s="38">
        <f>SUMIFS('כל ההוצאות'!$E:$E,'כל ההוצאות'!$B:$B,"Lovable",'כל ההוצאות'!$F:$F,"אוגוסט 2026")</f>
        <v/>
      </c>
      <c r="AD15" s="37">
        <f>SUMIFS('כל ההוצאות'!$D:$D,'כל ההוצאות'!$B:$B,"Lovable",'כל ההוצאות'!$F:$F,"ספטמבר 2026")</f>
        <v/>
      </c>
      <c r="AE15" s="38">
        <f>SUMIFS('כל ההוצאות'!$E:$E,'כל ההוצאות'!$B:$B,"Lovable",'כל ההוצאות'!$F:$F,"ספטמבר 2026")</f>
        <v/>
      </c>
      <c r="AF15" s="37">
        <f>SUMIFS('כל ההוצאות'!$D:$D,'כל ההוצאות'!$B:$B,"Lovable",'כל ההוצאות'!$F:$F,"אוקטובר 2026")</f>
        <v/>
      </c>
      <c r="AG15" s="38">
        <f>SUMIFS('כל ההוצאות'!$E:$E,'כל ההוצאות'!$B:$B,"Lovable",'כל ההוצאות'!$F:$F,"אוקטובר 2026")</f>
        <v/>
      </c>
      <c r="AH15" s="37">
        <f>SUMIFS('כל ההוצאות'!$D:$D,'כל ההוצאות'!$B:$B,"Lovable",'כל ההוצאות'!$F:$F,"נובמבר 2026")</f>
        <v/>
      </c>
      <c r="AI15" s="38">
        <f>SUMIFS('כל ההוצאות'!$E:$E,'כל ההוצאות'!$B:$B,"Lovable",'כל ההוצאות'!$F:$F,"נובמבר 2026")</f>
        <v/>
      </c>
      <c r="AJ15" s="37">
        <f>SUMIFS('כל ההוצאות'!$D:$D,'כל ההוצאות'!$B:$B,"Lovable",'כל ההוצאות'!$F:$F,"דצמבר 2026")</f>
        <v/>
      </c>
      <c r="AK15" s="38">
        <f>SUMIFS('כל ההוצאות'!$E:$E,'כל ההוצאות'!$B:$B,"Lovable",'כל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Make</t>
        </is>
      </c>
      <c r="B16" s="42">
        <f>SUMIFS('כל ההוצאות'!$D:$D,'כל ההוצאות'!$B:$B,"Make",'כל ההוצאות'!$F:$F,"יולי 2025")</f>
        <v/>
      </c>
      <c r="C16" s="43">
        <f>SUMIFS('כל ההוצאות'!$E:$E,'כל ההוצאות'!$B:$B,"Make",'כל ההוצאות'!$F:$F,"יולי 2025")</f>
        <v/>
      </c>
      <c r="D16" s="42">
        <f>SUMIFS('כל ההוצאות'!$D:$D,'כל ההוצאות'!$B:$B,"Make",'כל ההוצאות'!$F:$F,"אוגוסט 2025")</f>
        <v/>
      </c>
      <c r="E16" s="43">
        <f>SUMIFS('כל ההוצאות'!$E:$E,'כל ההוצאות'!$B:$B,"Make",'כל ההוצאות'!$F:$F,"אוגוסט 2025")</f>
        <v/>
      </c>
      <c r="F16" s="42">
        <f>SUMIFS('כל ההוצאות'!$D:$D,'כל ההוצאות'!$B:$B,"Make",'כל ההוצאות'!$F:$F,"ספטמבר 2025")</f>
        <v/>
      </c>
      <c r="G16" s="43">
        <f>SUMIFS('כל ההוצאות'!$E:$E,'כל ההוצאות'!$B:$B,"Make",'כל ההוצאות'!$F:$F,"ספטמבר 2025")</f>
        <v/>
      </c>
      <c r="H16" s="42">
        <f>SUMIFS('כל ההוצאות'!$D:$D,'כל ההוצאות'!$B:$B,"Make",'כל ההוצאות'!$F:$F,"אוקטובר 2025")</f>
        <v/>
      </c>
      <c r="I16" s="43">
        <f>SUMIFS('כל ההוצאות'!$E:$E,'כל ההוצאות'!$B:$B,"Make",'כל ההוצאות'!$F:$F,"אוקטובר 2025")</f>
        <v/>
      </c>
      <c r="J16" s="42">
        <f>SUMIFS('כל ההוצאות'!$D:$D,'כל ההוצאות'!$B:$B,"Make",'כל ההוצאות'!$F:$F,"נובמבר 2025")</f>
        <v/>
      </c>
      <c r="K16" s="43">
        <f>SUMIFS('כל ההוצאות'!$E:$E,'כל ההוצאות'!$B:$B,"Make",'כל ההוצאות'!$F:$F,"נובמבר 2025")</f>
        <v/>
      </c>
      <c r="L16" s="42">
        <f>SUMIFS('כל ההוצאות'!$D:$D,'כל ההוצאות'!$B:$B,"Make",'כל ההוצאות'!$F:$F,"דצמבר 2025")</f>
        <v/>
      </c>
      <c r="M16" s="43">
        <f>SUMIFS('כל ההוצאות'!$E:$E,'כל ההוצאות'!$B:$B,"Make",'כל ההוצאות'!$F:$F,"דצמבר 2025")</f>
        <v/>
      </c>
      <c r="N16" s="42">
        <f>SUMIFS('כל ההוצאות'!$D:$D,'כל ההוצאות'!$B:$B,"Make",'כל ההוצאות'!$F:$F,"ינואר 2026")</f>
        <v/>
      </c>
      <c r="O16" s="43">
        <f>SUMIFS('כל ההוצאות'!$E:$E,'כל ההוצאות'!$B:$B,"Make",'כל ההוצאות'!$F:$F,"ינואר 2026")</f>
        <v/>
      </c>
      <c r="P16" s="42">
        <f>SUMIFS('כל ההוצאות'!$D:$D,'כל ההוצאות'!$B:$B,"Make",'כל ההוצאות'!$F:$F,"פברואר 2026")</f>
        <v/>
      </c>
      <c r="Q16" s="43">
        <f>SUMIFS('כל ההוצאות'!$E:$E,'כל ההוצאות'!$B:$B,"Make",'כל ההוצאות'!$F:$F,"פברואר 2026")</f>
        <v/>
      </c>
      <c r="R16" s="42">
        <f>SUMIFS('כל ההוצאות'!$D:$D,'כל ההוצאות'!$B:$B,"Make",'כל ההוצאות'!$F:$F,"מרץ 2026")</f>
        <v/>
      </c>
      <c r="S16" s="43">
        <f>SUMIFS('כל ההוצאות'!$E:$E,'כל ההוצאות'!$B:$B,"Make",'כל ההוצאות'!$F:$F,"מרץ 2026")</f>
        <v/>
      </c>
      <c r="T16" s="42">
        <f>SUMIFS('כל ההוצאות'!$D:$D,'כל ההוצאות'!$B:$B,"Make",'כל ההוצאות'!$F:$F,"אפריל 2026")</f>
        <v/>
      </c>
      <c r="U16" s="43">
        <f>SUMIFS('כל ההוצאות'!$E:$E,'כל ההוצאות'!$B:$B,"Make",'כל ההוצאות'!$F:$F,"אפריל 2026")</f>
        <v/>
      </c>
      <c r="V16" s="42">
        <f>SUMIFS('כל ההוצאות'!$D:$D,'כל ההוצאות'!$B:$B,"Make",'כל ההוצאות'!$F:$F,"מאי 2026")</f>
        <v/>
      </c>
      <c r="W16" s="43">
        <f>SUMIFS('כל ההוצאות'!$E:$E,'כל ההוצאות'!$B:$B,"Make",'כל ההוצאות'!$F:$F,"מאי 2026")</f>
        <v/>
      </c>
      <c r="X16" s="42">
        <f>SUMIFS('כל ההוצאות'!$D:$D,'כל ההוצאות'!$B:$B,"Make",'כל ההוצאות'!$F:$F,"יוני 2026")</f>
        <v/>
      </c>
      <c r="Y16" s="43">
        <f>SUMIFS('כל ההוצאות'!$E:$E,'כל ההוצאות'!$B:$B,"Make",'כל ההוצאות'!$F:$F,"יוני 2026")</f>
        <v/>
      </c>
      <c r="Z16" s="42">
        <f>SUMIFS('כל ההוצאות'!$D:$D,'כל ההוצאות'!$B:$B,"Make",'כל ההוצאות'!$F:$F,"יולי 2026")</f>
        <v/>
      </c>
      <c r="AA16" s="43">
        <f>SUMIFS('כל ההוצאות'!$E:$E,'כל ההוצאות'!$B:$B,"Make",'כל ההוצאות'!$F:$F,"יולי 2026")</f>
        <v/>
      </c>
      <c r="AB16" s="42">
        <f>SUMIFS('כל ההוצאות'!$D:$D,'כל ההוצאות'!$B:$B,"Make",'כל ההוצאות'!$F:$F,"אוגוסט 2026")</f>
        <v/>
      </c>
      <c r="AC16" s="43">
        <f>SUMIFS('כל ההוצאות'!$E:$E,'כל ההוצאות'!$B:$B,"Make",'כל ההוצאות'!$F:$F,"אוגוסט 2026")</f>
        <v/>
      </c>
      <c r="AD16" s="42">
        <f>SUMIFS('כל ההוצאות'!$D:$D,'כל ההוצאות'!$B:$B,"Make",'כל ההוצאות'!$F:$F,"ספטמבר 2026")</f>
        <v/>
      </c>
      <c r="AE16" s="43">
        <f>SUMIFS('כל ההוצאות'!$E:$E,'כל ההוצאות'!$B:$B,"Make",'כל ההוצאות'!$F:$F,"ספטמבר 2026")</f>
        <v/>
      </c>
      <c r="AF16" s="42">
        <f>SUMIFS('כל ההוצאות'!$D:$D,'כל ההוצאות'!$B:$B,"Make",'כל ההוצאות'!$F:$F,"אוקטובר 2026")</f>
        <v/>
      </c>
      <c r="AG16" s="43">
        <f>SUMIFS('כל ההוצאות'!$E:$E,'כל ההוצאות'!$B:$B,"Make",'כל ההוצאות'!$F:$F,"אוקטובר 2026")</f>
        <v/>
      </c>
      <c r="AH16" s="42">
        <f>SUMIFS('כל ההוצאות'!$D:$D,'כל ההוצאות'!$B:$B,"Make",'כל ההוצאות'!$F:$F,"נובמבר 2026")</f>
        <v/>
      </c>
      <c r="AI16" s="43">
        <f>SUMIFS('כל ההוצאות'!$E:$E,'כל ההוצאות'!$B:$B,"Make",'כל ההוצאות'!$F:$F,"נובמבר 2026")</f>
        <v/>
      </c>
      <c r="AJ16" s="42">
        <f>SUMIFS('כל ההוצאות'!$D:$D,'כל ההוצאות'!$B:$B,"Make",'כל ההוצאות'!$F:$F,"דצמבר 2026")</f>
        <v/>
      </c>
      <c r="AK16" s="43">
        <f>SUMIFS('כל ההוצאות'!$E:$E,'כל ההוצאות'!$B:$B,"Make",'כל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Manus AI</t>
        </is>
      </c>
      <c r="B17" s="37">
        <f>SUMIFS('כל ההוצאות'!$D:$D,'כל ההוצאות'!$B:$B,"Manus AI",'כל ההוצאות'!$F:$F,"יולי 2025")</f>
        <v/>
      </c>
      <c r="C17" s="38">
        <f>SUMIFS('כל ההוצאות'!$E:$E,'כל ההוצאות'!$B:$B,"Manus AI",'כל ההוצאות'!$F:$F,"יולי 2025")</f>
        <v/>
      </c>
      <c r="D17" s="37">
        <f>SUMIFS('כל ההוצאות'!$D:$D,'כל ההוצאות'!$B:$B,"Manus AI",'כל ההוצאות'!$F:$F,"אוגוסט 2025")</f>
        <v/>
      </c>
      <c r="E17" s="38">
        <f>SUMIFS('כל ההוצאות'!$E:$E,'כל ההוצאות'!$B:$B,"Manus AI",'כל ההוצאות'!$F:$F,"אוגוסט 2025")</f>
        <v/>
      </c>
      <c r="F17" s="37">
        <f>SUMIFS('כל ההוצאות'!$D:$D,'כל ההוצאות'!$B:$B,"Manus AI",'כל ההוצאות'!$F:$F,"ספטמבר 2025")</f>
        <v/>
      </c>
      <c r="G17" s="38">
        <f>SUMIFS('כל ההוצאות'!$E:$E,'כל ההוצאות'!$B:$B,"Manus AI",'כל ההוצאות'!$F:$F,"ספטמבר 2025")</f>
        <v/>
      </c>
      <c r="H17" s="37">
        <f>SUMIFS('כל ההוצאות'!$D:$D,'כל ההוצאות'!$B:$B,"Manus AI",'כל ההוצאות'!$F:$F,"אוקטובר 2025")</f>
        <v/>
      </c>
      <c r="I17" s="38">
        <f>SUMIFS('כל ההוצאות'!$E:$E,'כל ההוצאות'!$B:$B,"Manus AI",'כל ההוצאות'!$F:$F,"אוקטובר 2025")</f>
        <v/>
      </c>
      <c r="J17" s="37">
        <f>SUMIFS('כל ההוצאות'!$D:$D,'כל ההוצאות'!$B:$B,"Manus AI",'כל ההוצאות'!$F:$F,"נובמבר 2025")</f>
        <v/>
      </c>
      <c r="K17" s="38">
        <f>SUMIFS('כל ההוצאות'!$E:$E,'כל ההוצאות'!$B:$B,"Manus AI",'כל ההוצאות'!$F:$F,"נובמבר 2025")</f>
        <v/>
      </c>
      <c r="L17" s="37">
        <f>SUMIFS('כל ההוצאות'!$D:$D,'כל ההוצאות'!$B:$B,"Manus AI",'כל ההוצאות'!$F:$F,"דצמבר 2025")</f>
        <v/>
      </c>
      <c r="M17" s="38">
        <f>SUMIFS('כל ההוצאות'!$E:$E,'כל ההוצאות'!$B:$B,"Manus AI",'כל ההוצאות'!$F:$F,"דצמבר 2025")</f>
        <v/>
      </c>
      <c r="N17" s="37">
        <f>SUMIFS('כל ההוצאות'!$D:$D,'כל ההוצאות'!$B:$B,"Manus AI",'כל ההוצאות'!$F:$F,"ינואר 2026")</f>
        <v/>
      </c>
      <c r="O17" s="38">
        <f>SUMIFS('כל ההוצאות'!$E:$E,'כל ההוצאות'!$B:$B,"Manus AI",'כל ההוצאות'!$F:$F,"ינואר 2026")</f>
        <v/>
      </c>
      <c r="P17" s="37">
        <f>SUMIFS('כל ההוצאות'!$D:$D,'כל ההוצאות'!$B:$B,"Manus AI",'כל ההוצאות'!$F:$F,"פברואר 2026")</f>
        <v/>
      </c>
      <c r="Q17" s="38">
        <f>SUMIFS('כל ההוצאות'!$E:$E,'כל ההוצאות'!$B:$B,"Manus AI",'כל ההוצאות'!$F:$F,"פברואר 2026")</f>
        <v/>
      </c>
      <c r="R17" s="37">
        <f>SUMIFS('כל ההוצאות'!$D:$D,'כל ההוצאות'!$B:$B,"Manus AI",'כל ההוצאות'!$F:$F,"מרץ 2026")</f>
        <v/>
      </c>
      <c r="S17" s="38">
        <f>SUMIFS('כל ההוצאות'!$E:$E,'כל ההוצאות'!$B:$B,"Manus AI",'כל ההוצאות'!$F:$F,"מרץ 2026")</f>
        <v/>
      </c>
      <c r="T17" s="37">
        <f>SUMIFS('כל ההוצאות'!$D:$D,'כל ההוצאות'!$B:$B,"Manus AI",'כל ההוצאות'!$F:$F,"אפריל 2026")</f>
        <v/>
      </c>
      <c r="U17" s="38">
        <f>SUMIFS('כל ההוצאות'!$E:$E,'כל ההוצאות'!$B:$B,"Manus AI",'כל ההוצאות'!$F:$F,"אפריל 2026")</f>
        <v/>
      </c>
      <c r="V17" s="37">
        <f>SUMIFS('כל ההוצאות'!$D:$D,'כל ההוצאות'!$B:$B,"Manus AI",'כל ההוצאות'!$F:$F,"מאי 2026")</f>
        <v/>
      </c>
      <c r="W17" s="38">
        <f>SUMIFS('כל ההוצאות'!$E:$E,'כל ההוצאות'!$B:$B,"Manus AI",'כל ההוצאות'!$F:$F,"מאי 2026")</f>
        <v/>
      </c>
      <c r="X17" s="37">
        <f>SUMIFS('כל ההוצאות'!$D:$D,'כל ההוצאות'!$B:$B,"Manus AI",'כל ההוצאות'!$F:$F,"יוני 2026")</f>
        <v/>
      </c>
      <c r="Y17" s="38">
        <f>SUMIFS('כל ההוצאות'!$E:$E,'כל ההוצאות'!$B:$B,"Manus AI",'כל ההוצאות'!$F:$F,"יוני 2026")</f>
        <v/>
      </c>
      <c r="Z17" s="37">
        <f>SUMIFS('כל ההוצאות'!$D:$D,'כל ההוצאות'!$B:$B,"Manus AI",'כל ההוצאות'!$F:$F,"יולי 2026")</f>
        <v/>
      </c>
      <c r="AA17" s="38">
        <f>SUMIFS('כל ההוצאות'!$E:$E,'כל ההוצאות'!$B:$B,"Manus AI",'כל ההוצאות'!$F:$F,"יולי 2026")</f>
        <v/>
      </c>
      <c r="AB17" s="37">
        <f>SUMIFS('כל ההוצאות'!$D:$D,'כל ההוצאות'!$B:$B,"Manus AI",'כל ההוצאות'!$F:$F,"אוגוסט 2026")</f>
        <v/>
      </c>
      <c r="AC17" s="38">
        <f>SUMIFS('כל ההוצאות'!$E:$E,'כל ההוצאות'!$B:$B,"Manus AI",'כל ההוצאות'!$F:$F,"אוגוסט 2026")</f>
        <v/>
      </c>
      <c r="AD17" s="37">
        <f>SUMIFS('כל ההוצאות'!$D:$D,'כל ההוצאות'!$B:$B,"Manus AI",'כל ההוצאות'!$F:$F,"ספטמבר 2026")</f>
        <v/>
      </c>
      <c r="AE17" s="38">
        <f>SUMIFS('כל ההוצאות'!$E:$E,'כל ההוצאות'!$B:$B,"Manus AI",'כל ההוצאות'!$F:$F,"ספטמבר 2026")</f>
        <v/>
      </c>
      <c r="AF17" s="37">
        <f>SUMIFS('כל ההוצאות'!$D:$D,'כל ההוצאות'!$B:$B,"Manus AI",'כל ההוצאות'!$F:$F,"אוקטובר 2026")</f>
        <v/>
      </c>
      <c r="AG17" s="38">
        <f>SUMIFS('כל ההוצאות'!$E:$E,'כל ההוצאות'!$B:$B,"Manus AI",'כל ההוצאות'!$F:$F,"אוקטובר 2026")</f>
        <v/>
      </c>
      <c r="AH17" s="37">
        <f>SUMIFS('כל ההוצאות'!$D:$D,'כל ההוצאות'!$B:$B,"Manus AI",'כל ההוצאות'!$F:$F,"נובמבר 2026")</f>
        <v/>
      </c>
      <c r="AI17" s="38">
        <f>SUMIFS('כל ההוצאות'!$E:$E,'כל ההוצאות'!$B:$B,"Manus AI",'כל ההוצאות'!$F:$F,"נובמבר 2026")</f>
        <v/>
      </c>
      <c r="AJ17" s="37">
        <f>SUMIFS('כל ההוצאות'!$D:$D,'כל ההוצאות'!$B:$B,"Manus AI",'כל ההוצאות'!$F:$F,"דצמבר 2026")</f>
        <v/>
      </c>
      <c r="AK17" s="38">
        <f>SUMIFS('כל ההוצאות'!$E:$E,'כל ההוצאות'!$B:$B,"Manus AI",'כל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Manychat</t>
        </is>
      </c>
      <c r="B18" s="42">
        <f>SUMIFS('כל ההוצאות'!$D:$D,'כל ההוצאות'!$B:$B,"Manychat",'כל ההוצאות'!$F:$F,"יולי 2025")</f>
        <v/>
      </c>
      <c r="C18" s="43">
        <f>SUMIFS('כל ההוצאות'!$E:$E,'כל ההוצאות'!$B:$B,"Manychat",'כל ההוצאות'!$F:$F,"יולי 2025")</f>
        <v/>
      </c>
      <c r="D18" s="42">
        <f>SUMIFS('כל ההוצאות'!$D:$D,'כל ההוצאות'!$B:$B,"Manychat",'כל ההוצאות'!$F:$F,"אוגוסט 2025")</f>
        <v/>
      </c>
      <c r="E18" s="43">
        <f>SUMIFS('כל ההוצאות'!$E:$E,'כל ההוצאות'!$B:$B,"Manychat",'כל ההוצאות'!$F:$F,"אוגוסט 2025")</f>
        <v/>
      </c>
      <c r="F18" s="42">
        <f>SUMIFS('כל ההוצאות'!$D:$D,'כל ההוצאות'!$B:$B,"Manychat",'כל ההוצאות'!$F:$F,"ספטמבר 2025")</f>
        <v/>
      </c>
      <c r="G18" s="43">
        <f>SUMIFS('כל ההוצאות'!$E:$E,'כל ההוצאות'!$B:$B,"Manychat",'כל ההוצאות'!$F:$F,"ספטמבר 2025")</f>
        <v/>
      </c>
      <c r="H18" s="42">
        <f>SUMIFS('כל ההוצאות'!$D:$D,'כל ההוצאות'!$B:$B,"Manychat",'כל ההוצאות'!$F:$F,"אוקטובר 2025")</f>
        <v/>
      </c>
      <c r="I18" s="43">
        <f>SUMIFS('כל ההוצאות'!$E:$E,'כל ההוצאות'!$B:$B,"Manychat",'כל ההוצאות'!$F:$F,"אוקטובר 2025")</f>
        <v/>
      </c>
      <c r="J18" s="42">
        <f>SUMIFS('כל ההוצאות'!$D:$D,'כל ההוצאות'!$B:$B,"Manychat",'כל ההוצאות'!$F:$F,"נובמבר 2025")</f>
        <v/>
      </c>
      <c r="K18" s="43">
        <f>SUMIFS('כל ההוצאות'!$E:$E,'כל ההוצאות'!$B:$B,"Manychat",'כל ההוצאות'!$F:$F,"נובמבר 2025")</f>
        <v/>
      </c>
      <c r="L18" s="42">
        <f>SUMIFS('כל ההוצאות'!$D:$D,'כל ההוצאות'!$B:$B,"Manychat",'כל ההוצאות'!$F:$F,"דצמבר 2025")</f>
        <v/>
      </c>
      <c r="M18" s="43">
        <f>SUMIFS('כל ההוצאות'!$E:$E,'כל ההוצאות'!$B:$B,"Manychat",'כל ההוצאות'!$F:$F,"דצמבר 2025")</f>
        <v/>
      </c>
      <c r="N18" s="42">
        <f>SUMIFS('כל ההוצאות'!$D:$D,'כל ההוצאות'!$B:$B,"Manychat",'כל ההוצאות'!$F:$F,"ינואר 2026")</f>
        <v/>
      </c>
      <c r="O18" s="43">
        <f>SUMIFS('כל ההוצאות'!$E:$E,'כל ההוצאות'!$B:$B,"Manychat",'כל ההוצאות'!$F:$F,"ינואר 2026")</f>
        <v/>
      </c>
      <c r="P18" s="42">
        <f>SUMIFS('כל ההוצאות'!$D:$D,'כל ההוצאות'!$B:$B,"Manychat",'כל ההוצאות'!$F:$F,"פברואר 2026")</f>
        <v/>
      </c>
      <c r="Q18" s="43">
        <f>SUMIFS('כל ההוצאות'!$E:$E,'כל ההוצאות'!$B:$B,"Manychat",'כל ההוצאות'!$F:$F,"פברואר 2026")</f>
        <v/>
      </c>
      <c r="R18" s="42">
        <f>SUMIFS('כל ההוצאות'!$D:$D,'כל ההוצאות'!$B:$B,"Manychat",'כל ההוצאות'!$F:$F,"מרץ 2026")</f>
        <v/>
      </c>
      <c r="S18" s="43">
        <f>SUMIFS('כל ההוצאות'!$E:$E,'כל ההוצאות'!$B:$B,"Manychat",'כל ההוצאות'!$F:$F,"מרץ 2026")</f>
        <v/>
      </c>
      <c r="T18" s="42">
        <f>SUMIFS('כל ההוצאות'!$D:$D,'כל ההוצאות'!$B:$B,"Manychat",'כל ההוצאות'!$F:$F,"אפריל 2026")</f>
        <v/>
      </c>
      <c r="U18" s="43">
        <f>SUMIFS('כל ההוצאות'!$E:$E,'כל ההוצאות'!$B:$B,"Manychat",'כל ההוצאות'!$F:$F,"אפריל 2026")</f>
        <v/>
      </c>
      <c r="V18" s="42">
        <f>SUMIFS('כל ההוצאות'!$D:$D,'כל ההוצאות'!$B:$B,"Manychat",'כל ההוצאות'!$F:$F,"מאי 2026")</f>
        <v/>
      </c>
      <c r="W18" s="43">
        <f>SUMIFS('כל ההוצאות'!$E:$E,'כל ההוצאות'!$B:$B,"Manychat",'כל ההוצאות'!$F:$F,"מאי 2026")</f>
        <v/>
      </c>
      <c r="X18" s="42">
        <f>SUMIFS('כל ההוצאות'!$D:$D,'כל ההוצאות'!$B:$B,"Manychat",'כל ההוצאות'!$F:$F,"יוני 2026")</f>
        <v/>
      </c>
      <c r="Y18" s="43">
        <f>SUMIFS('כל ההוצאות'!$E:$E,'כל ההוצאות'!$B:$B,"Manychat",'כל ההוצאות'!$F:$F,"יוני 2026")</f>
        <v/>
      </c>
      <c r="Z18" s="42">
        <f>SUMIFS('כל ההוצאות'!$D:$D,'כל ההוצאות'!$B:$B,"Manychat",'כל ההוצאות'!$F:$F,"יולי 2026")</f>
        <v/>
      </c>
      <c r="AA18" s="43">
        <f>SUMIFS('כל ההוצאות'!$E:$E,'כל ההוצאות'!$B:$B,"Manychat",'כל ההוצאות'!$F:$F,"יולי 2026")</f>
        <v/>
      </c>
      <c r="AB18" s="42">
        <f>SUMIFS('כל ההוצאות'!$D:$D,'כל ההוצאות'!$B:$B,"Manychat",'כל ההוצאות'!$F:$F,"אוגוסט 2026")</f>
        <v/>
      </c>
      <c r="AC18" s="43">
        <f>SUMIFS('כל ההוצאות'!$E:$E,'כל ההוצאות'!$B:$B,"Manychat",'כל ההוצאות'!$F:$F,"אוגוסט 2026")</f>
        <v/>
      </c>
      <c r="AD18" s="42">
        <f>SUMIFS('כל ההוצאות'!$D:$D,'כל ההוצאות'!$B:$B,"Manychat",'כל ההוצאות'!$F:$F,"ספטמבר 2026")</f>
        <v/>
      </c>
      <c r="AE18" s="43">
        <f>SUMIFS('כל ההוצאות'!$E:$E,'כל ההוצאות'!$B:$B,"Manychat",'כל ההוצאות'!$F:$F,"ספטמבר 2026")</f>
        <v/>
      </c>
      <c r="AF18" s="42">
        <f>SUMIFS('כל ההוצאות'!$D:$D,'כל ההוצאות'!$B:$B,"Manychat",'כל ההוצאות'!$F:$F,"אוקטובר 2026")</f>
        <v/>
      </c>
      <c r="AG18" s="43">
        <f>SUMIFS('כל ההוצאות'!$E:$E,'כל ההוצאות'!$B:$B,"Manychat",'כל ההוצאות'!$F:$F,"אוקטובר 2026")</f>
        <v/>
      </c>
      <c r="AH18" s="42">
        <f>SUMIFS('כל ההוצאות'!$D:$D,'כל ההוצאות'!$B:$B,"Manychat",'כל ההוצאות'!$F:$F,"נובמבר 2026")</f>
        <v/>
      </c>
      <c r="AI18" s="43">
        <f>SUMIFS('כל ההוצאות'!$E:$E,'כל ההוצאות'!$B:$B,"Manychat",'כל ההוצאות'!$F:$F,"נובמבר 2026")</f>
        <v/>
      </c>
      <c r="AJ18" s="42">
        <f>SUMIFS('כל ההוצאות'!$D:$D,'כל ההוצאות'!$B:$B,"Manychat",'כל ההוצאות'!$F:$F,"דצמבר 2026")</f>
        <v/>
      </c>
      <c r="AK18" s="43">
        <f>SUMIFS('כל ההוצאות'!$E:$E,'כל ההוצאות'!$B:$B,"Manychat",'כל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Meta (Ads)</t>
        </is>
      </c>
      <c r="B19" s="37">
        <f>SUMIFS('כל ההוצאות'!$D:$D,'כל ההוצאות'!$B:$B,"Meta (Ads)",'כל ההוצאות'!$F:$F,"יולי 2025")</f>
        <v/>
      </c>
      <c r="C19" s="38">
        <f>SUMIFS('כל ההוצאות'!$E:$E,'כל ההוצאות'!$B:$B,"Meta (Ads)",'כל ההוצאות'!$F:$F,"יולי 2025")</f>
        <v/>
      </c>
      <c r="D19" s="37">
        <f>SUMIFS('כל ההוצאות'!$D:$D,'כל ההוצאות'!$B:$B,"Meta (Ads)",'כל ההוצאות'!$F:$F,"אוגוסט 2025")</f>
        <v/>
      </c>
      <c r="E19" s="38">
        <f>SUMIFS('כל ההוצאות'!$E:$E,'כל ההוצאות'!$B:$B,"Meta (Ads)",'כל ההוצאות'!$F:$F,"אוגוסט 2025")</f>
        <v/>
      </c>
      <c r="F19" s="37">
        <f>SUMIFS('כל ההוצאות'!$D:$D,'כל ההוצאות'!$B:$B,"Meta (Ads)",'כל ההוצאות'!$F:$F,"ספטמבר 2025")</f>
        <v/>
      </c>
      <c r="G19" s="38">
        <f>SUMIFS('כל ההוצאות'!$E:$E,'כל ההוצאות'!$B:$B,"Meta (Ads)",'כל ההוצאות'!$F:$F,"ספטמבר 2025")</f>
        <v/>
      </c>
      <c r="H19" s="37">
        <f>SUMIFS('כל ההוצאות'!$D:$D,'כל ההוצאות'!$B:$B,"Meta (Ads)",'כל ההוצאות'!$F:$F,"אוקטובר 2025")</f>
        <v/>
      </c>
      <c r="I19" s="38">
        <f>SUMIFS('כל ההוצאות'!$E:$E,'כל ההוצאות'!$B:$B,"Meta (Ads)",'כל ההוצאות'!$F:$F,"אוקטובר 2025")</f>
        <v/>
      </c>
      <c r="J19" s="37">
        <f>SUMIFS('כל ההוצאות'!$D:$D,'כל ההוצאות'!$B:$B,"Meta (Ads)",'כל ההוצאות'!$F:$F,"נובמבר 2025")</f>
        <v/>
      </c>
      <c r="K19" s="38">
        <f>SUMIFS('כל ההוצאות'!$E:$E,'כל ההוצאות'!$B:$B,"Meta (Ads)",'כל ההוצאות'!$F:$F,"נובמבר 2025")</f>
        <v/>
      </c>
      <c r="L19" s="37">
        <f>SUMIFS('כל ההוצאות'!$D:$D,'כל ההוצאות'!$B:$B,"Meta (Ads)",'כל ההוצאות'!$F:$F,"דצמבר 2025")</f>
        <v/>
      </c>
      <c r="M19" s="38">
        <f>SUMIFS('כל ההוצאות'!$E:$E,'כל ההוצאות'!$B:$B,"Meta (Ads)",'כל ההוצאות'!$F:$F,"דצמבר 2025")</f>
        <v/>
      </c>
      <c r="N19" s="37">
        <f>SUMIFS('כל ההוצאות'!$D:$D,'כל ההוצאות'!$B:$B,"Meta (Ads)",'כל ההוצאות'!$F:$F,"ינואר 2026")</f>
        <v/>
      </c>
      <c r="O19" s="38">
        <f>SUMIFS('כל ההוצאות'!$E:$E,'כל ההוצאות'!$B:$B,"Meta (Ads)",'כל ההוצאות'!$F:$F,"ינואר 2026")</f>
        <v/>
      </c>
      <c r="P19" s="37">
        <f>SUMIFS('כל ההוצאות'!$D:$D,'כל ההוצאות'!$B:$B,"Meta (Ads)",'כל ההוצאות'!$F:$F,"פברואר 2026")</f>
        <v/>
      </c>
      <c r="Q19" s="38">
        <f>SUMIFS('כל ההוצאות'!$E:$E,'כל ההוצאות'!$B:$B,"Meta (Ads)",'כל ההוצאות'!$F:$F,"פברואר 2026")</f>
        <v/>
      </c>
      <c r="R19" s="37">
        <f>SUMIFS('כל ההוצאות'!$D:$D,'כל ההוצאות'!$B:$B,"Meta (Ads)",'כל ההוצאות'!$F:$F,"מרץ 2026")</f>
        <v/>
      </c>
      <c r="S19" s="38">
        <f>SUMIFS('כל ההוצאות'!$E:$E,'כל ההוצאות'!$B:$B,"Meta (Ads)",'כל ההוצאות'!$F:$F,"מרץ 2026")</f>
        <v/>
      </c>
      <c r="T19" s="37">
        <f>SUMIFS('כל ההוצאות'!$D:$D,'כל ההוצאות'!$B:$B,"Meta (Ads)",'כל ההוצאות'!$F:$F,"אפריל 2026")</f>
        <v/>
      </c>
      <c r="U19" s="38">
        <f>SUMIFS('כל ההוצאות'!$E:$E,'כל ההוצאות'!$B:$B,"Meta (Ads)",'כל ההוצאות'!$F:$F,"אפריל 2026")</f>
        <v/>
      </c>
      <c r="V19" s="37">
        <f>SUMIFS('כל ההוצאות'!$D:$D,'כל ההוצאות'!$B:$B,"Meta (Ads)",'כל ההוצאות'!$F:$F,"מאי 2026")</f>
        <v/>
      </c>
      <c r="W19" s="38">
        <f>SUMIFS('כל ההוצאות'!$E:$E,'כל ההוצאות'!$B:$B,"Meta (Ads)",'כל ההוצאות'!$F:$F,"מאי 2026")</f>
        <v/>
      </c>
      <c r="X19" s="37">
        <f>SUMIFS('כל ההוצאות'!$D:$D,'כל ההוצאות'!$B:$B,"Meta (Ads)",'כל ההוצאות'!$F:$F,"יוני 2026")</f>
        <v/>
      </c>
      <c r="Y19" s="38">
        <f>SUMIFS('כל ההוצאות'!$E:$E,'כל ההוצאות'!$B:$B,"Meta (Ads)",'כל ההוצאות'!$F:$F,"יוני 2026")</f>
        <v/>
      </c>
      <c r="Z19" s="37">
        <f>SUMIFS('כל ההוצאות'!$D:$D,'כל ההוצאות'!$B:$B,"Meta (Ads)",'כל ההוצאות'!$F:$F,"יולי 2026")</f>
        <v/>
      </c>
      <c r="AA19" s="38">
        <f>SUMIFS('כל ההוצאות'!$E:$E,'כל ההוצאות'!$B:$B,"Meta (Ads)",'כל ההוצאות'!$F:$F,"יולי 2026")</f>
        <v/>
      </c>
      <c r="AB19" s="37">
        <f>SUMIFS('כל ההוצאות'!$D:$D,'כל ההוצאות'!$B:$B,"Meta (Ads)",'כל ההוצאות'!$F:$F,"אוגוסט 2026")</f>
        <v/>
      </c>
      <c r="AC19" s="38">
        <f>SUMIFS('כל ההוצאות'!$E:$E,'כל ההוצאות'!$B:$B,"Meta (Ads)",'כל ההוצאות'!$F:$F,"אוגוסט 2026")</f>
        <v/>
      </c>
      <c r="AD19" s="37">
        <f>SUMIFS('כל ההוצאות'!$D:$D,'כל ההוצאות'!$B:$B,"Meta (Ads)",'כל ההוצאות'!$F:$F,"ספטמבר 2026")</f>
        <v/>
      </c>
      <c r="AE19" s="38">
        <f>SUMIFS('כל ההוצאות'!$E:$E,'כל ההוצאות'!$B:$B,"Meta (Ads)",'כל ההוצאות'!$F:$F,"ספטמבר 2026")</f>
        <v/>
      </c>
      <c r="AF19" s="37">
        <f>SUMIFS('כל ההוצאות'!$D:$D,'כל ההוצאות'!$B:$B,"Meta (Ads)",'כל ההוצאות'!$F:$F,"אוקטובר 2026")</f>
        <v/>
      </c>
      <c r="AG19" s="38">
        <f>SUMIFS('כל ההוצאות'!$E:$E,'כל ההוצאות'!$B:$B,"Meta (Ads)",'כל ההוצאות'!$F:$F,"אוקטובר 2026")</f>
        <v/>
      </c>
      <c r="AH19" s="37">
        <f>SUMIFS('כל ההוצאות'!$D:$D,'כל ההוצאות'!$B:$B,"Meta (Ads)",'כל ההוצאות'!$F:$F,"נובמבר 2026")</f>
        <v/>
      </c>
      <c r="AI19" s="38">
        <f>SUMIFS('כל ההוצאות'!$E:$E,'כל ההוצאות'!$B:$B,"Meta (Ads)",'כל ההוצאות'!$F:$F,"נובמבר 2026")</f>
        <v/>
      </c>
      <c r="AJ19" s="37">
        <f>SUMIFS('כל ההוצאות'!$D:$D,'כל ההוצאות'!$B:$B,"Meta (Ads)",'כל ההוצאות'!$F:$F,"דצמבר 2026")</f>
        <v/>
      </c>
      <c r="AK19" s="38">
        <f>SUMIFS('כל ההוצאות'!$E:$E,'כל ההוצאות'!$B:$B,"Meta (Ads)",'כל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OpenAI</t>
        </is>
      </c>
      <c r="B20" s="42">
        <f>SUMIFS('כל ההוצאות'!$D:$D,'כל ההוצאות'!$B:$B,"OpenAI",'כל ההוצאות'!$F:$F,"יולי 2025")</f>
        <v/>
      </c>
      <c r="C20" s="43">
        <f>SUMIFS('כל ההוצאות'!$E:$E,'כל ההוצאות'!$B:$B,"OpenAI",'כל ההוצאות'!$F:$F,"יולי 2025")</f>
        <v/>
      </c>
      <c r="D20" s="42">
        <f>SUMIFS('כל ההוצאות'!$D:$D,'כל ההוצאות'!$B:$B,"OpenAI",'כל ההוצאות'!$F:$F,"אוגוסט 2025")</f>
        <v/>
      </c>
      <c r="E20" s="43">
        <f>SUMIFS('כל ההוצאות'!$E:$E,'כל ההוצאות'!$B:$B,"OpenAI",'כל ההוצאות'!$F:$F,"אוגוסט 2025")</f>
        <v/>
      </c>
      <c r="F20" s="42">
        <f>SUMIFS('כל ההוצאות'!$D:$D,'כל ההוצאות'!$B:$B,"OpenAI",'כל ההוצאות'!$F:$F,"ספטמבר 2025")</f>
        <v/>
      </c>
      <c r="G20" s="43">
        <f>SUMIFS('כל ההוצאות'!$E:$E,'כל ההוצאות'!$B:$B,"OpenAI",'כל ההוצאות'!$F:$F,"ספטמבר 2025")</f>
        <v/>
      </c>
      <c r="H20" s="42">
        <f>SUMIFS('כל ההוצאות'!$D:$D,'כל ההוצאות'!$B:$B,"OpenAI",'כל ההוצאות'!$F:$F,"אוקטובר 2025")</f>
        <v/>
      </c>
      <c r="I20" s="43">
        <f>SUMIFS('כל ההוצאות'!$E:$E,'כל ההוצאות'!$B:$B,"OpenAI",'כל ההוצאות'!$F:$F,"אוקטובר 2025")</f>
        <v/>
      </c>
      <c r="J20" s="42">
        <f>SUMIFS('כל ההוצאות'!$D:$D,'כל ההוצאות'!$B:$B,"OpenAI",'כל ההוצאות'!$F:$F,"נובמבר 2025")</f>
        <v/>
      </c>
      <c r="K20" s="43">
        <f>SUMIFS('כל ההוצאות'!$E:$E,'כל ההוצאות'!$B:$B,"OpenAI",'כל ההוצאות'!$F:$F,"נובמבר 2025")</f>
        <v/>
      </c>
      <c r="L20" s="42">
        <f>SUMIFS('כל ההוצאות'!$D:$D,'כל ההוצאות'!$B:$B,"OpenAI",'כל ההוצאות'!$F:$F,"דצמבר 2025")</f>
        <v/>
      </c>
      <c r="M20" s="43">
        <f>SUMIFS('כל ההוצאות'!$E:$E,'כל ההוצאות'!$B:$B,"OpenAI",'כל ההוצאות'!$F:$F,"דצמבר 2025")</f>
        <v/>
      </c>
      <c r="N20" s="42">
        <f>SUMIFS('כל ההוצאות'!$D:$D,'כל ההוצאות'!$B:$B,"OpenAI",'כל ההוצאות'!$F:$F,"ינואר 2026")</f>
        <v/>
      </c>
      <c r="O20" s="43">
        <f>SUMIFS('כל ההוצאות'!$E:$E,'כל ההוצאות'!$B:$B,"OpenAI",'כל ההוצאות'!$F:$F,"ינואר 2026")</f>
        <v/>
      </c>
      <c r="P20" s="42">
        <f>SUMIFS('כל ההוצאות'!$D:$D,'כל ההוצאות'!$B:$B,"OpenAI",'כל ההוצאות'!$F:$F,"פברואר 2026")</f>
        <v/>
      </c>
      <c r="Q20" s="43">
        <f>SUMIFS('כל ההוצאות'!$E:$E,'כל ההוצאות'!$B:$B,"OpenAI",'כל ההוצאות'!$F:$F,"פברואר 2026")</f>
        <v/>
      </c>
      <c r="R20" s="42">
        <f>SUMIFS('כל ההוצאות'!$D:$D,'כל ההוצאות'!$B:$B,"OpenAI",'כל ההוצאות'!$F:$F,"מרץ 2026")</f>
        <v/>
      </c>
      <c r="S20" s="43">
        <f>SUMIFS('כל ההוצאות'!$E:$E,'כל ההוצאות'!$B:$B,"OpenAI",'כל ההוצאות'!$F:$F,"מרץ 2026")</f>
        <v/>
      </c>
      <c r="T20" s="42">
        <f>SUMIFS('כל ההוצאות'!$D:$D,'כל ההוצאות'!$B:$B,"OpenAI",'כל ההוצאות'!$F:$F,"אפריל 2026")</f>
        <v/>
      </c>
      <c r="U20" s="43">
        <f>SUMIFS('כל ההוצאות'!$E:$E,'כל ההוצאות'!$B:$B,"OpenAI",'כל ההוצאות'!$F:$F,"אפריל 2026")</f>
        <v/>
      </c>
      <c r="V20" s="42">
        <f>SUMIFS('כל ההוצאות'!$D:$D,'כל ההוצאות'!$B:$B,"OpenAI",'כל ההוצאות'!$F:$F,"מאי 2026")</f>
        <v/>
      </c>
      <c r="W20" s="43">
        <f>SUMIFS('כל ההוצאות'!$E:$E,'כל ההוצאות'!$B:$B,"OpenAI",'כל ההוצאות'!$F:$F,"מאי 2026")</f>
        <v/>
      </c>
      <c r="X20" s="42">
        <f>SUMIFS('כל ההוצאות'!$D:$D,'כל ההוצאות'!$B:$B,"OpenAI",'כל ההוצאות'!$F:$F,"יוני 2026")</f>
        <v/>
      </c>
      <c r="Y20" s="43">
        <f>SUMIFS('כל ההוצאות'!$E:$E,'כל ההוצאות'!$B:$B,"OpenAI",'כל ההוצאות'!$F:$F,"יוני 2026")</f>
        <v/>
      </c>
      <c r="Z20" s="42">
        <f>SUMIFS('כל ההוצאות'!$D:$D,'כל ההוצאות'!$B:$B,"OpenAI",'כל ההוצאות'!$F:$F,"יולי 2026")</f>
        <v/>
      </c>
      <c r="AA20" s="43">
        <f>SUMIFS('כל ההוצאות'!$E:$E,'כל ההוצאות'!$B:$B,"OpenAI",'כל ההוצאות'!$F:$F,"יולי 2026")</f>
        <v/>
      </c>
      <c r="AB20" s="42">
        <f>SUMIFS('כל ההוצאות'!$D:$D,'כל ההוצאות'!$B:$B,"OpenAI",'כל ההוצאות'!$F:$F,"אוגוסט 2026")</f>
        <v/>
      </c>
      <c r="AC20" s="43">
        <f>SUMIFS('כל ההוצאות'!$E:$E,'כל ההוצאות'!$B:$B,"OpenAI",'כל ההוצאות'!$F:$F,"אוגוסט 2026")</f>
        <v/>
      </c>
      <c r="AD20" s="42">
        <f>SUMIFS('כל ההוצאות'!$D:$D,'כל ההוצאות'!$B:$B,"OpenAI",'כל ההוצאות'!$F:$F,"ספטמבר 2026")</f>
        <v/>
      </c>
      <c r="AE20" s="43">
        <f>SUMIFS('כל ההוצאות'!$E:$E,'כל ההוצאות'!$B:$B,"OpenAI",'כל ההוצאות'!$F:$F,"ספטמבר 2026")</f>
        <v/>
      </c>
      <c r="AF20" s="42">
        <f>SUMIFS('כל ההוצאות'!$D:$D,'כל ההוצאות'!$B:$B,"OpenAI",'כל ההוצאות'!$F:$F,"אוקטובר 2026")</f>
        <v/>
      </c>
      <c r="AG20" s="43">
        <f>SUMIFS('כל ההוצאות'!$E:$E,'כל ההוצאות'!$B:$B,"OpenAI",'כל ההוצאות'!$F:$F,"אוקטובר 2026")</f>
        <v/>
      </c>
      <c r="AH20" s="42">
        <f>SUMIFS('כל ההוצאות'!$D:$D,'כל ההוצאות'!$B:$B,"OpenAI",'כל ההוצאות'!$F:$F,"נובמבר 2026")</f>
        <v/>
      </c>
      <c r="AI20" s="43">
        <f>SUMIFS('כל ההוצאות'!$E:$E,'כל ההוצאות'!$B:$B,"OpenAI",'כל ההוצאות'!$F:$F,"נובמבר 2026")</f>
        <v/>
      </c>
      <c r="AJ20" s="42">
        <f>SUMIFS('כל ההוצאות'!$D:$D,'כל ההוצאות'!$B:$B,"OpenAI",'כל ההוצאות'!$F:$F,"דצמבר 2026")</f>
        <v/>
      </c>
      <c r="AK20" s="43">
        <f>SUMIFS('כל ההוצאות'!$E:$E,'כל ההוצאות'!$B:$B,"OpenAI",'כל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Recraft</t>
        </is>
      </c>
      <c r="B21" s="37">
        <f>SUMIFS('כל ההוצאות'!$D:$D,'כל ההוצאות'!$B:$B,"Recraft",'כל ההוצאות'!$F:$F,"יולי 2025")</f>
        <v/>
      </c>
      <c r="C21" s="38">
        <f>SUMIFS('כל ההוצאות'!$E:$E,'כל ההוצאות'!$B:$B,"Recraft",'כל ההוצאות'!$F:$F,"יולי 2025")</f>
        <v/>
      </c>
      <c r="D21" s="37">
        <f>SUMIFS('כל ההוצאות'!$D:$D,'כל ההוצאות'!$B:$B,"Recraft",'כל ההוצאות'!$F:$F,"אוגוסט 2025")</f>
        <v/>
      </c>
      <c r="E21" s="38">
        <f>SUMIFS('כל ההוצאות'!$E:$E,'כל ההוצאות'!$B:$B,"Recraft",'כל ההוצאות'!$F:$F,"אוגוסט 2025")</f>
        <v/>
      </c>
      <c r="F21" s="37">
        <f>SUMIFS('כל ההוצאות'!$D:$D,'כל ההוצאות'!$B:$B,"Recraft",'כל ההוצאות'!$F:$F,"ספטמבר 2025")</f>
        <v/>
      </c>
      <c r="G21" s="38">
        <f>SUMIFS('כל ההוצאות'!$E:$E,'כל ההוצאות'!$B:$B,"Recraft",'כל ההוצאות'!$F:$F,"ספטמבר 2025")</f>
        <v/>
      </c>
      <c r="H21" s="37">
        <f>SUMIFS('כל ההוצאות'!$D:$D,'כל ההוצאות'!$B:$B,"Recraft",'כל ההוצאות'!$F:$F,"אוקטובר 2025")</f>
        <v/>
      </c>
      <c r="I21" s="38">
        <f>SUMIFS('כל ההוצאות'!$E:$E,'כל ההוצאות'!$B:$B,"Recraft",'כל ההוצאות'!$F:$F,"אוקטובר 2025")</f>
        <v/>
      </c>
      <c r="J21" s="37">
        <f>SUMIFS('כל ההוצאות'!$D:$D,'כל ההוצאות'!$B:$B,"Recraft",'כל ההוצאות'!$F:$F,"נובמבר 2025")</f>
        <v/>
      </c>
      <c r="K21" s="38">
        <f>SUMIFS('כל ההוצאות'!$E:$E,'כל ההוצאות'!$B:$B,"Recraft",'כל ההוצאות'!$F:$F,"נובמבר 2025")</f>
        <v/>
      </c>
      <c r="L21" s="37">
        <f>SUMIFS('כל ההוצאות'!$D:$D,'כל ההוצאות'!$B:$B,"Recraft",'כל ההוצאות'!$F:$F,"דצמבר 2025")</f>
        <v/>
      </c>
      <c r="M21" s="38">
        <f>SUMIFS('כל ההוצאות'!$E:$E,'כל ההוצאות'!$B:$B,"Recraft",'כל ההוצאות'!$F:$F,"דצמבר 2025")</f>
        <v/>
      </c>
      <c r="N21" s="37">
        <f>SUMIFS('כל ההוצאות'!$D:$D,'כל ההוצאות'!$B:$B,"Recraft",'כל ההוצאות'!$F:$F,"ינואר 2026")</f>
        <v/>
      </c>
      <c r="O21" s="38">
        <f>SUMIFS('כל ההוצאות'!$E:$E,'כל ההוצאות'!$B:$B,"Recraft",'כל ההוצאות'!$F:$F,"ינואר 2026")</f>
        <v/>
      </c>
      <c r="P21" s="37">
        <f>SUMIFS('כל ההוצאות'!$D:$D,'כל ההוצאות'!$B:$B,"Recraft",'כל ההוצאות'!$F:$F,"פברואר 2026")</f>
        <v/>
      </c>
      <c r="Q21" s="38">
        <f>SUMIFS('כל ההוצאות'!$E:$E,'כל ההוצאות'!$B:$B,"Recraft",'כל ההוצאות'!$F:$F,"פברואר 2026")</f>
        <v/>
      </c>
      <c r="R21" s="37">
        <f>SUMIFS('כל ההוצאות'!$D:$D,'כל ההוצאות'!$B:$B,"Recraft",'כל ההוצאות'!$F:$F,"מרץ 2026")</f>
        <v/>
      </c>
      <c r="S21" s="38">
        <f>SUMIFS('כל ההוצאות'!$E:$E,'כל ההוצאות'!$B:$B,"Recraft",'כל ההוצאות'!$F:$F,"מרץ 2026")</f>
        <v/>
      </c>
      <c r="T21" s="37">
        <f>SUMIFS('כל ההוצאות'!$D:$D,'כל ההוצאות'!$B:$B,"Recraft",'כל ההוצאות'!$F:$F,"אפריל 2026")</f>
        <v/>
      </c>
      <c r="U21" s="38">
        <f>SUMIFS('כל ההוצאות'!$E:$E,'כל ההוצאות'!$B:$B,"Recraft",'כל ההוצאות'!$F:$F,"אפריל 2026")</f>
        <v/>
      </c>
      <c r="V21" s="37">
        <f>SUMIFS('כל ההוצאות'!$D:$D,'כל ההוצאות'!$B:$B,"Recraft",'כל ההוצאות'!$F:$F,"מאי 2026")</f>
        <v/>
      </c>
      <c r="W21" s="38">
        <f>SUMIFS('כל ההוצאות'!$E:$E,'כל ההוצאות'!$B:$B,"Recraft",'כל ההוצאות'!$F:$F,"מאי 2026")</f>
        <v/>
      </c>
      <c r="X21" s="37">
        <f>SUMIFS('כל ההוצאות'!$D:$D,'כל ההוצאות'!$B:$B,"Recraft",'כל ההוצאות'!$F:$F,"יוני 2026")</f>
        <v/>
      </c>
      <c r="Y21" s="38">
        <f>SUMIFS('כל ההוצאות'!$E:$E,'כל ההוצאות'!$B:$B,"Recraft",'כל ההוצאות'!$F:$F,"יוני 2026")</f>
        <v/>
      </c>
      <c r="Z21" s="37">
        <f>SUMIFS('כל ההוצאות'!$D:$D,'כל ההוצאות'!$B:$B,"Recraft",'כל ההוצאות'!$F:$F,"יולי 2026")</f>
        <v/>
      </c>
      <c r="AA21" s="38">
        <f>SUMIFS('כל ההוצאות'!$E:$E,'כל ההוצאות'!$B:$B,"Recraft",'כל ההוצאות'!$F:$F,"יולי 2026")</f>
        <v/>
      </c>
      <c r="AB21" s="37">
        <f>SUMIFS('כל ההוצאות'!$D:$D,'כל ההוצאות'!$B:$B,"Recraft",'כל ההוצאות'!$F:$F,"אוגוסט 2026")</f>
        <v/>
      </c>
      <c r="AC21" s="38">
        <f>SUMIFS('כל ההוצאות'!$E:$E,'כל ההוצאות'!$B:$B,"Recraft",'כל ההוצאות'!$F:$F,"אוגוסט 2026")</f>
        <v/>
      </c>
      <c r="AD21" s="37">
        <f>SUMIFS('כל ההוצאות'!$D:$D,'כל ההוצאות'!$B:$B,"Recraft",'כל ההוצאות'!$F:$F,"ספטמבר 2026")</f>
        <v/>
      </c>
      <c r="AE21" s="38">
        <f>SUMIFS('כל ההוצאות'!$E:$E,'כל ההוצאות'!$B:$B,"Recraft",'כל ההוצאות'!$F:$F,"ספטמבר 2026")</f>
        <v/>
      </c>
      <c r="AF21" s="37">
        <f>SUMIFS('כל ההוצאות'!$D:$D,'כל ההוצאות'!$B:$B,"Recraft",'כל ההוצאות'!$F:$F,"אוקטובר 2026")</f>
        <v/>
      </c>
      <c r="AG21" s="38">
        <f>SUMIFS('כל ההוצאות'!$E:$E,'כל ההוצאות'!$B:$B,"Recraft",'כל ההוצאות'!$F:$F,"אוקטובר 2026")</f>
        <v/>
      </c>
      <c r="AH21" s="37">
        <f>SUMIFS('כל ההוצאות'!$D:$D,'כל ההוצאות'!$B:$B,"Recraft",'כל ההוצאות'!$F:$F,"נובמבר 2026")</f>
        <v/>
      </c>
      <c r="AI21" s="38">
        <f>SUMIFS('כל ההוצאות'!$E:$E,'כל ההוצאות'!$B:$B,"Recraft",'כל ההוצאות'!$F:$F,"נובמבר 2026")</f>
        <v/>
      </c>
      <c r="AJ21" s="37">
        <f>SUMIFS('כל ההוצאות'!$D:$D,'כל ההוצאות'!$B:$B,"Recraft",'כל ההוצאות'!$F:$F,"דצמבר 2026")</f>
        <v/>
      </c>
      <c r="AK21" s="38">
        <f>SUMIFS('כל ההוצאות'!$E:$E,'כל ההוצאות'!$B:$B,"Recraft",'כל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Replicate</t>
        </is>
      </c>
      <c r="B22" s="42">
        <f>SUMIFS('כל ההוצאות'!$D:$D,'כל ההוצאות'!$B:$B,"Replicate",'כל ההוצאות'!$F:$F,"יולי 2025")</f>
        <v/>
      </c>
      <c r="C22" s="43">
        <f>SUMIFS('כל ההוצאות'!$E:$E,'כל ההוצאות'!$B:$B,"Replicate",'כל ההוצאות'!$F:$F,"יולי 2025")</f>
        <v/>
      </c>
      <c r="D22" s="42">
        <f>SUMIFS('כל ההוצאות'!$D:$D,'כל ההוצאות'!$B:$B,"Replicate",'כל ההוצאות'!$F:$F,"אוגוסט 2025")</f>
        <v/>
      </c>
      <c r="E22" s="43">
        <f>SUMIFS('כל ההוצאות'!$E:$E,'כל ההוצאות'!$B:$B,"Replicate",'כל ההוצאות'!$F:$F,"אוגוסט 2025")</f>
        <v/>
      </c>
      <c r="F22" s="42">
        <f>SUMIFS('כל ההוצאות'!$D:$D,'כל ההוצאות'!$B:$B,"Replicate",'כל ההוצאות'!$F:$F,"ספטמבר 2025")</f>
        <v/>
      </c>
      <c r="G22" s="43">
        <f>SUMIFS('כל ההוצאות'!$E:$E,'כל ההוצאות'!$B:$B,"Replicate",'כל ההוצאות'!$F:$F,"ספטמבר 2025")</f>
        <v/>
      </c>
      <c r="H22" s="42">
        <f>SUMIFS('כל ההוצאות'!$D:$D,'כל ההוצאות'!$B:$B,"Replicate",'כל ההוצאות'!$F:$F,"אוקטובר 2025")</f>
        <v/>
      </c>
      <c r="I22" s="43">
        <f>SUMIFS('כל ההוצאות'!$E:$E,'כל ההוצאות'!$B:$B,"Replicate",'כל ההוצאות'!$F:$F,"אוקטובר 2025")</f>
        <v/>
      </c>
      <c r="J22" s="42">
        <f>SUMIFS('כל ההוצאות'!$D:$D,'כל ההוצאות'!$B:$B,"Replicate",'כל ההוצאות'!$F:$F,"נובמבר 2025")</f>
        <v/>
      </c>
      <c r="K22" s="43">
        <f>SUMIFS('כל ההוצאות'!$E:$E,'כל ההוצאות'!$B:$B,"Replicate",'כל ההוצאות'!$F:$F,"נובמבר 2025")</f>
        <v/>
      </c>
      <c r="L22" s="42">
        <f>SUMIFS('כל ההוצאות'!$D:$D,'כל ההוצאות'!$B:$B,"Replicate",'כל ההוצאות'!$F:$F,"דצמבר 2025")</f>
        <v/>
      </c>
      <c r="M22" s="43">
        <f>SUMIFS('כל ההוצאות'!$E:$E,'כל ההוצאות'!$B:$B,"Replicate",'כל ההוצאות'!$F:$F,"דצמבר 2025")</f>
        <v/>
      </c>
      <c r="N22" s="42">
        <f>SUMIFS('כל ההוצאות'!$D:$D,'כל ההוצאות'!$B:$B,"Replicate",'כל ההוצאות'!$F:$F,"ינואר 2026")</f>
        <v/>
      </c>
      <c r="O22" s="43">
        <f>SUMIFS('כל ההוצאות'!$E:$E,'כל ההוצאות'!$B:$B,"Replicate",'כל ההוצאות'!$F:$F,"ינואר 2026")</f>
        <v/>
      </c>
      <c r="P22" s="42">
        <f>SUMIFS('כל ההוצאות'!$D:$D,'כל ההוצאות'!$B:$B,"Replicate",'כל ההוצאות'!$F:$F,"פברואר 2026")</f>
        <v/>
      </c>
      <c r="Q22" s="43">
        <f>SUMIFS('כל ההוצאות'!$E:$E,'כל ההוצאות'!$B:$B,"Replicate",'כל ההוצאות'!$F:$F,"פברואר 2026")</f>
        <v/>
      </c>
      <c r="R22" s="42">
        <f>SUMIFS('כל ההוצאות'!$D:$D,'כל ההוצאות'!$B:$B,"Replicate",'כל ההוצאות'!$F:$F,"מרץ 2026")</f>
        <v/>
      </c>
      <c r="S22" s="43">
        <f>SUMIFS('כל ההוצאות'!$E:$E,'כל ההוצאות'!$B:$B,"Replicate",'כל ההוצאות'!$F:$F,"מרץ 2026")</f>
        <v/>
      </c>
      <c r="T22" s="42">
        <f>SUMIFS('כל ההוצאות'!$D:$D,'כל ההוצאות'!$B:$B,"Replicate",'כל ההוצאות'!$F:$F,"אפריל 2026")</f>
        <v/>
      </c>
      <c r="U22" s="43">
        <f>SUMIFS('כל ההוצאות'!$E:$E,'כל ההוצאות'!$B:$B,"Replicate",'כל ההוצאות'!$F:$F,"אפריל 2026")</f>
        <v/>
      </c>
      <c r="V22" s="42">
        <f>SUMIFS('כל ההוצאות'!$D:$D,'כל ההוצאות'!$B:$B,"Replicate",'כל ההוצאות'!$F:$F,"מאי 2026")</f>
        <v/>
      </c>
      <c r="W22" s="43">
        <f>SUMIFS('כל ההוצאות'!$E:$E,'כל ההוצאות'!$B:$B,"Replicate",'כל ההוצאות'!$F:$F,"מאי 2026")</f>
        <v/>
      </c>
      <c r="X22" s="42">
        <f>SUMIFS('כל ההוצאות'!$D:$D,'כל ההוצאות'!$B:$B,"Replicate",'כל ההוצאות'!$F:$F,"יוני 2026")</f>
        <v/>
      </c>
      <c r="Y22" s="43">
        <f>SUMIFS('כל ההוצאות'!$E:$E,'כל ההוצאות'!$B:$B,"Replicate",'כל ההוצאות'!$F:$F,"יוני 2026")</f>
        <v/>
      </c>
      <c r="Z22" s="42">
        <f>SUMIFS('כל ההוצאות'!$D:$D,'כל ההוצאות'!$B:$B,"Replicate",'כל ההוצאות'!$F:$F,"יולי 2026")</f>
        <v/>
      </c>
      <c r="AA22" s="43">
        <f>SUMIFS('כל ההוצאות'!$E:$E,'כל ההוצאות'!$B:$B,"Replicate",'כל ההוצאות'!$F:$F,"יולי 2026")</f>
        <v/>
      </c>
      <c r="AB22" s="42">
        <f>SUMIFS('כל ההוצאות'!$D:$D,'כל ההוצאות'!$B:$B,"Replicate",'כל ההוצאות'!$F:$F,"אוגוסט 2026")</f>
        <v/>
      </c>
      <c r="AC22" s="43">
        <f>SUMIFS('כל ההוצאות'!$E:$E,'כל ההוצאות'!$B:$B,"Replicate",'כל ההוצאות'!$F:$F,"אוגוסט 2026")</f>
        <v/>
      </c>
      <c r="AD22" s="42">
        <f>SUMIFS('כל ההוצאות'!$D:$D,'כל ההוצאות'!$B:$B,"Replicate",'כל ההוצאות'!$F:$F,"ספטמבר 2026")</f>
        <v/>
      </c>
      <c r="AE22" s="43">
        <f>SUMIFS('כל ההוצאות'!$E:$E,'כל ההוצאות'!$B:$B,"Replicate",'כל ההוצאות'!$F:$F,"ספטמבר 2026")</f>
        <v/>
      </c>
      <c r="AF22" s="42">
        <f>SUMIFS('כל ההוצאות'!$D:$D,'כל ההוצאות'!$B:$B,"Replicate",'כל ההוצאות'!$F:$F,"אוקטובר 2026")</f>
        <v/>
      </c>
      <c r="AG22" s="43">
        <f>SUMIFS('כל ההוצאות'!$E:$E,'כל ההוצאות'!$B:$B,"Replicate",'כל ההוצאות'!$F:$F,"אוקטובר 2026")</f>
        <v/>
      </c>
      <c r="AH22" s="42">
        <f>SUMIFS('כל ההוצאות'!$D:$D,'כל ההוצאות'!$B:$B,"Replicate",'כל ההוצאות'!$F:$F,"נובמבר 2026")</f>
        <v/>
      </c>
      <c r="AI22" s="43">
        <f>SUMIFS('כל ההוצאות'!$E:$E,'כל ההוצאות'!$B:$B,"Replicate",'כל ההוצאות'!$F:$F,"נובמבר 2026")</f>
        <v/>
      </c>
      <c r="AJ22" s="42">
        <f>SUMIFS('כל ההוצאות'!$D:$D,'כל ההוצאות'!$B:$B,"Replicate",'כל ההוצאות'!$F:$F,"דצמבר 2026")</f>
        <v/>
      </c>
      <c r="AK22" s="43">
        <f>SUMIFS('כל ההוצאות'!$E:$E,'כל ההוצאות'!$B:$B,"Replicate",'כל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Runway ML</t>
        </is>
      </c>
      <c r="B23" s="37">
        <f>SUMIFS('כל ההוצאות'!$D:$D,'כל ההוצאות'!$B:$B,"Runway ML",'כל ההוצאות'!$F:$F,"יולי 2025")</f>
        <v/>
      </c>
      <c r="C23" s="38">
        <f>SUMIFS('כל ההוצאות'!$E:$E,'כל ההוצאות'!$B:$B,"Runway ML",'כל ההוצאות'!$F:$F,"יולי 2025")</f>
        <v/>
      </c>
      <c r="D23" s="37">
        <f>SUMIFS('כל ההוצאות'!$D:$D,'כל ההוצאות'!$B:$B,"Runway ML",'כל ההוצאות'!$F:$F,"אוגוסט 2025")</f>
        <v/>
      </c>
      <c r="E23" s="38">
        <f>SUMIFS('כל ההוצאות'!$E:$E,'כל ההוצאות'!$B:$B,"Runway ML",'כל ההוצאות'!$F:$F,"אוגוסט 2025")</f>
        <v/>
      </c>
      <c r="F23" s="37">
        <f>SUMIFS('כל ההוצאות'!$D:$D,'כל ההוצאות'!$B:$B,"Runway ML",'כל ההוצאות'!$F:$F,"ספטמבר 2025")</f>
        <v/>
      </c>
      <c r="G23" s="38">
        <f>SUMIFS('כל ההוצאות'!$E:$E,'כל ההוצאות'!$B:$B,"Runway ML",'כל ההוצאות'!$F:$F,"ספטמבר 2025")</f>
        <v/>
      </c>
      <c r="H23" s="37">
        <f>SUMIFS('כל ההוצאות'!$D:$D,'כל ההוצאות'!$B:$B,"Runway ML",'כל ההוצאות'!$F:$F,"אוקטובר 2025")</f>
        <v/>
      </c>
      <c r="I23" s="38">
        <f>SUMIFS('כל ההוצאות'!$E:$E,'כל ההוצאות'!$B:$B,"Runway ML",'כל ההוצאות'!$F:$F,"אוקטובר 2025")</f>
        <v/>
      </c>
      <c r="J23" s="37">
        <f>SUMIFS('כל ההוצאות'!$D:$D,'כל ההוצאות'!$B:$B,"Runway ML",'כל ההוצאות'!$F:$F,"נובמבר 2025")</f>
        <v/>
      </c>
      <c r="K23" s="38">
        <f>SUMIFS('כל ההוצאות'!$E:$E,'כל ההוצאות'!$B:$B,"Runway ML",'כל ההוצאות'!$F:$F,"נובמבר 2025")</f>
        <v/>
      </c>
      <c r="L23" s="37">
        <f>SUMIFS('כל ההוצאות'!$D:$D,'כל ההוצאות'!$B:$B,"Runway ML",'כל ההוצאות'!$F:$F,"דצמבר 2025")</f>
        <v/>
      </c>
      <c r="M23" s="38">
        <f>SUMIFS('כל ההוצאות'!$E:$E,'כל ההוצאות'!$B:$B,"Runway ML",'כל ההוצאות'!$F:$F,"דצמבר 2025")</f>
        <v/>
      </c>
      <c r="N23" s="37">
        <f>SUMIFS('כל ההוצאות'!$D:$D,'כל ההוצאות'!$B:$B,"Runway ML",'כל ההוצאות'!$F:$F,"ינואר 2026")</f>
        <v/>
      </c>
      <c r="O23" s="38">
        <f>SUMIFS('כל ההוצאות'!$E:$E,'כל ההוצאות'!$B:$B,"Runway ML",'כל ההוצאות'!$F:$F,"ינואר 2026")</f>
        <v/>
      </c>
      <c r="P23" s="37">
        <f>SUMIFS('כל ההוצאות'!$D:$D,'כל ההוצאות'!$B:$B,"Runway ML",'כל ההוצאות'!$F:$F,"פברואר 2026")</f>
        <v/>
      </c>
      <c r="Q23" s="38">
        <f>SUMIFS('כל ההוצאות'!$E:$E,'כל ההוצאות'!$B:$B,"Runway ML",'כל ההוצאות'!$F:$F,"פברואר 2026")</f>
        <v/>
      </c>
      <c r="R23" s="37">
        <f>SUMIFS('כל ההוצאות'!$D:$D,'כל ההוצאות'!$B:$B,"Runway ML",'כל ההוצאות'!$F:$F,"מרץ 2026")</f>
        <v/>
      </c>
      <c r="S23" s="38">
        <f>SUMIFS('כל ההוצאות'!$E:$E,'כל ההוצאות'!$B:$B,"Runway ML",'כל ההוצאות'!$F:$F,"מרץ 2026")</f>
        <v/>
      </c>
      <c r="T23" s="37">
        <f>SUMIFS('כל ההוצאות'!$D:$D,'כל ההוצאות'!$B:$B,"Runway ML",'כל ההוצאות'!$F:$F,"אפריל 2026")</f>
        <v/>
      </c>
      <c r="U23" s="38">
        <f>SUMIFS('כל ההוצאות'!$E:$E,'כל ההוצאות'!$B:$B,"Runway ML",'כל ההוצאות'!$F:$F,"אפריל 2026")</f>
        <v/>
      </c>
      <c r="V23" s="37">
        <f>SUMIFS('כל ההוצאות'!$D:$D,'כל ההוצאות'!$B:$B,"Runway ML",'כל ההוצאות'!$F:$F,"מאי 2026")</f>
        <v/>
      </c>
      <c r="W23" s="38">
        <f>SUMIFS('כל ההוצאות'!$E:$E,'כל ההוצאות'!$B:$B,"Runway ML",'כל ההוצאות'!$F:$F,"מאי 2026")</f>
        <v/>
      </c>
      <c r="X23" s="37">
        <f>SUMIFS('כל ההוצאות'!$D:$D,'כל ההוצאות'!$B:$B,"Runway ML",'כל ההוצאות'!$F:$F,"יוני 2026")</f>
        <v/>
      </c>
      <c r="Y23" s="38">
        <f>SUMIFS('כל ההוצאות'!$E:$E,'כל ההוצאות'!$B:$B,"Runway ML",'כל ההוצאות'!$F:$F,"יוני 2026")</f>
        <v/>
      </c>
      <c r="Z23" s="37">
        <f>SUMIFS('כל ההוצאות'!$D:$D,'כל ההוצאות'!$B:$B,"Runway ML",'כל ההוצאות'!$F:$F,"יולי 2026")</f>
        <v/>
      </c>
      <c r="AA23" s="38">
        <f>SUMIFS('כל ההוצאות'!$E:$E,'כל ההוצאות'!$B:$B,"Runway ML",'כל ההוצאות'!$F:$F,"יולי 2026")</f>
        <v/>
      </c>
      <c r="AB23" s="37">
        <f>SUMIFS('כל ההוצאות'!$D:$D,'כל ההוצאות'!$B:$B,"Runway ML",'כל ההוצאות'!$F:$F,"אוגוסט 2026")</f>
        <v/>
      </c>
      <c r="AC23" s="38">
        <f>SUMIFS('כל ההוצאות'!$E:$E,'כל ההוצאות'!$B:$B,"Runway ML",'כל ההוצאות'!$F:$F,"אוגוסט 2026")</f>
        <v/>
      </c>
      <c r="AD23" s="37">
        <f>SUMIFS('כל ההוצאות'!$D:$D,'כל ההוצאות'!$B:$B,"Runway ML",'כל ההוצאות'!$F:$F,"ספטמבר 2026")</f>
        <v/>
      </c>
      <c r="AE23" s="38">
        <f>SUMIFS('כל ההוצאות'!$E:$E,'כל ההוצאות'!$B:$B,"Runway ML",'כל ההוצאות'!$F:$F,"ספטמבר 2026")</f>
        <v/>
      </c>
      <c r="AF23" s="37">
        <f>SUMIFS('כל ההוצאות'!$D:$D,'כל ההוצאות'!$B:$B,"Runway ML",'כל ההוצאות'!$F:$F,"אוקטובר 2026")</f>
        <v/>
      </c>
      <c r="AG23" s="38">
        <f>SUMIFS('כל ההוצאות'!$E:$E,'כל ההוצאות'!$B:$B,"Runway ML",'כל ההוצאות'!$F:$F,"אוקטובר 2026")</f>
        <v/>
      </c>
      <c r="AH23" s="37">
        <f>SUMIFS('כל ההוצאות'!$D:$D,'כל ההוצאות'!$B:$B,"Runway ML",'כל ההוצאות'!$F:$F,"נובמבר 2026")</f>
        <v/>
      </c>
      <c r="AI23" s="38">
        <f>SUMIFS('כל ההוצאות'!$E:$E,'כל ההוצאות'!$B:$B,"Runway ML",'כל ההוצאות'!$F:$F,"נובמבר 2026")</f>
        <v/>
      </c>
      <c r="AJ23" s="37">
        <f>SUMIFS('כל ההוצאות'!$D:$D,'כל ההוצאות'!$B:$B,"Runway ML",'כל ההוצאות'!$F:$F,"דצמבר 2026")</f>
        <v/>
      </c>
      <c r="AK23" s="38">
        <f>SUMIFS('כל ההוצאות'!$E:$E,'כל ההוצאות'!$B:$B,"Runway ML",'כל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Timeless</t>
        </is>
      </c>
      <c r="B24" s="42">
        <f>SUMIFS('כל ההוצאות'!$D:$D,'כל ההוצאות'!$B:$B,"Timeless",'כל ההוצאות'!$F:$F,"יולי 2025")</f>
        <v/>
      </c>
      <c r="C24" s="43">
        <f>SUMIFS('כל ההוצאות'!$E:$E,'כל ההוצאות'!$B:$B,"Timeless",'כל ההוצאות'!$F:$F,"יולי 2025")</f>
        <v/>
      </c>
      <c r="D24" s="42">
        <f>SUMIFS('כל ההוצאות'!$D:$D,'כל ההוצאות'!$B:$B,"Timeless",'כל ההוצאות'!$F:$F,"אוגוסט 2025")</f>
        <v/>
      </c>
      <c r="E24" s="43">
        <f>SUMIFS('כל ההוצאות'!$E:$E,'כל ההוצאות'!$B:$B,"Timeless",'כל ההוצאות'!$F:$F,"אוגוסט 2025")</f>
        <v/>
      </c>
      <c r="F24" s="42">
        <f>SUMIFS('כל ההוצאות'!$D:$D,'כל ההוצאות'!$B:$B,"Timeless",'כל ההוצאות'!$F:$F,"ספטמבר 2025")</f>
        <v/>
      </c>
      <c r="G24" s="43">
        <f>SUMIFS('כל ההוצאות'!$E:$E,'כל ההוצאות'!$B:$B,"Timeless",'כל ההוצאות'!$F:$F,"ספטמבר 2025")</f>
        <v/>
      </c>
      <c r="H24" s="42">
        <f>SUMIFS('כל ההוצאות'!$D:$D,'כל ההוצאות'!$B:$B,"Timeless",'כל ההוצאות'!$F:$F,"אוקטובר 2025")</f>
        <v/>
      </c>
      <c r="I24" s="43">
        <f>SUMIFS('כל ההוצאות'!$E:$E,'כל ההוצאות'!$B:$B,"Timeless",'כל ההוצאות'!$F:$F,"אוקטובר 2025")</f>
        <v/>
      </c>
      <c r="J24" s="42">
        <f>SUMIFS('כל ההוצאות'!$D:$D,'כל ההוצאות'!$B:$B,"Timeless",'כל ההוצאות'!$F:$F,"נובמבר 2025")</f>
        <v/>
      </c>
      <c r="K24" s="43">
        <f>SUMIFS('כל ההוצאות'!$E:$E,'כל ההוצאות'!$B:$B,"Timeless",'כל ההוצאות'!$F:$F,"נובמבר 2025")</f>
        <v/>
      </c>
      <c r="L24" s="42">
        <f>SUMIFS('כל ההוצאות'!$D:$D,'כל ההוצאות'!$B:$B,"Timeless",'כל ההוצאות'!$F:$F,"דצמבר 2025")</f>
        <v/>
      </c>
      <c r="M24" s="43">
        <f>SUMIFS('כל ההוצאות'!$E:$E,'כל ההוצאות'!$B:$B,"Timeless",'כל ההוצאות'!$F:$F,"דצמבר 2025")</f>
        <v/>
      </c>
      <c r="N24" s="42">
        <f>SUMIFS('כל ההוצאות'!$D:$D,'כל ההוצאות'!$B:$B,"Timeless",'כל ההוצאות'!$F:$F,"ינואר 2026")</f>
        <v/>
      </c>
      <c r="O24" s="43">
        <f>SUMIFS('כל ההוצאות'!$E:$E,'כל ההוצאות'!$B:$B,"Timeless",'כל ההוצאות'!$F:$F,"ינואר 2026")</f>
        <v/>
      </c>
      <c r="P24" s="42">
        <f>SUMIFS('כל ההוצאות'!$D:$D,'כל ההוצאות'!$B:$B,"Timeless",'כל ההוצאות'!$F:$F,"פברואר 2026")</f>
        <v/>
      </c>
      <c r="Q24" s="43">
        <f>SUMIFS('כל ההוצאות'!$E:$E,'כל ההוצאות'!$B:$B,"Timeless",'כל ההוצאות'!$F:$F,"פברואר 2026")</f>
        <v/>
      </c>
      <c r="R24" s="42">
        <f>SUMIFS('כל ההוצאות'!$D:$D,'כל ההוצאות'!$B:$B,"Timeless",'כל ההוצאות'!$F:$F,"מרץ 2026")</f>
        <v/>
      </c>
      <c r="S24" s="43">
        <f>SUMIFS('כל ההוצאות'!$E:$E,'כל ההוצאות'!$B:$B,"Timeless",'כל ההוצאות'!$F:$F,"מרץ 2026")</f>
        <v/>
      </c>
      <c r="T24" s="42">
        <f>SUMIFS('כל ההוצאות'!$D:$D,'כל ההוצאות'!$B:$B,"Timeless",'כל ההוצאות'!$F:$F,"אפריל 2026")</f>
        <v/>
      </c>
      <c r="U24" s="43">
        <f>SUMIFS('כל ההוצאות'!$E:$E,'כל ההוצאות'!$B:$B,"Timeless",'כל ההוצאות'!$F:$F,"אפריל 2026")</f>
        <v/>
      </c>
      <c r="V24" s="42">
        <f>SUMIFS('כל ההוצאות'!$D:$D,'כל ההוצאות'!$B:$B,"Timeless",'כל ההוצאות'!$F:$F,"מאי 2026")</f>
        <v/>
      </c>
      <c r="W24" s="43">
        <f>SUMIFS('כל ההוצאות'!$E:$E,'כל ההוצאות'!$B:$B,"Timeless",'כל ההוצאות'!$F:$F,"מאי 2026")</f>
        <v/>
      </c>
      <c r="X24" s="42">
        <f>SUMIFS('כל ההוצאות'!$D:$D,'כל ההוצאות'!$B:$B,"Timeless",'כל ההוצאות'!$F:$F,"יוני 2026")</f>
        <v/>
      </c>
      <c r="Y24" s="43">
        <f>SUMIFS('כל ההוצאות'!$E:$E,'כל ההוצאות'!$B:$B,"Timeless",'כל ההוצאות'!$F:$F,"יוני 2026")</f>
        <v/>
      </c>
      <c r="Z24" s="42">
        <f>SUMIFS('כל ההוצאות'!$D:$D,'כל ההוצאות'!$B:$B,"Timeless",'כל ההוצאות'!$F:$F,"יולי 2026")</f>
        <v/>
      </c>
      <c r="AA24" s="43">
        <f>SUMIFS('כל ההוצאות'!$E:$E,'כל ההוצאות'!$B:$B,"Timeless",'כל ההוצאות'!$F:$F,"יולי 2026")</f>
        <v/>
      </c>
      <c r="AB24" s="42">
        <f>SUMIFS('כל ההוצאות'!$D:$D,'כל ההוצאות'!$B:$B,"Timeless",'כל ההוצאות'!$F:$F,"אוגוסט 2026")</f>
        <v/>
      </c>
      <c r="AC24" s="43">
        <f>SUMIFS('כל ההוצאות'!$E:$E,'כל ההוצאות'!$B:$B,"Timeless",'כל ההוצאות'!$F:$F,"אוגוסט 2026")</f>
        <v/>
      </c>
      <c r="AD24" s="42">
        <f>SUMIFS('כל ההוצאות'!$D:$D,'כל ההוצאות'!$B:$B,"Timeless",'כל ההוצאות'!$F:$F,"ספטמבר 2026")</f>
        <v/>
      </c>
      <c r="AE24" s="43">
        <f>SUMIFS('כל ההוצאות'!$E:$E,'כל ההוצאות'!$B:$B,"Timeless",'כל ההוצאות'!$F:$F,"ספטמבר 2026")</f>
        <v/>
      </c>
      <c r="AF24" s="42">
        <f>SUMIFS('כל ההוצאות'!$D:$D,'כל ההוצאות'!$B:$B,"Timeless",'כל ההוצאות'!$F:$F,"אוקטובר 2026")</f>
        <v/>
      </c>
      <c r="AG24" s="43">
        <f>SUMIFS('כל ההוצאות'!$E:$E,'כל ההוצאות'!$B:$B,"Timeless",'כל ההוצאות'!$F:$F,"אוקטובר 2026")</f>
        <v/>
      </c>
      <c r="AH24" s="42">
        <f>SUMIFS('כל ההוצאות'!$D:$D,'כל ההוצאות'!$B:$B,"Timeless",'כל ההוצאות'!$F:$F,"נובמבר 2026")</f>
        <v/>
      </c>
      <c r="AI24" s="43">
        <f>SUMIFS('כל ההוצאות'!$E:$E,'כל ההוצאות'!$B:$B,"Timeless",'כל ההוצאות'!$F:$F,"נובמבר 2026")</f>
        <v/>
      </c>
      <c r="AJ24" s="42">
        <f>SUMIFS('כל ההוצאות'!$D:$D,'כל ההוצאות'!$B:$B,"Timeless",'כל ההוצאות'!$F:$F,"דצמבר 2026")</f>
        <v/>
      </c>
      <c r="AK24" s="43">
        <f>SUMIFS('כל ההוצאות'!$E:$E,'כל ההוצאות'!$B:$B,"Timeless",'כל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 ht="24" customHeight="1">
      <c r="A25" s="30" t="inlineStr">
        <is>
          <t>סה"כ חודשי</t>
        </is>
      </c>
      <c r="B25" s="20">
        <f>SUM(B5:B24)</f>
        <v/>
      </c>
      <c r="C25" s="21">
        <f>SUM(C5:C24)</f>
        <v/>
      </c>
      <c r="D25" s="20">
        <f>SUM(D5:D24)</f>
        <v/>
      </c>
      <c r="E25" s="21">
        <f>SUM(E5:E24)</f>
        <v/>
      </c>
      <c r="F25" s="20">
        <f>SUM(F5:F24)</f>
        <v/>
      </c>
      <c r="G25" s="21">
        <f>SUM(G5:G24)</f>
        <v/>
      </c>
      <c r="H25" s="20">
        <f>SUM(H5:H24)</f>
        <v/>
      </c>
      <c r="I25" s="21">
        <f>SUM(I5:I24)</f>
        <v/>
      </c>
      <c r="J25" s="20">
        <f>SUM(J5:J24)</f>
        <v/>
      </c>
      <c r="K25" s="21">
        <f>SUM(K5:K24)</f>
        <v/>
      </c>
      <c r="L25" s="20">
        <f>SUM(L5:L24)</f>
        <v/>
      </c>
      <c r="M25" s="21">
        <f>SUM(M5:M24)</f>
        <v/>
      </c>
      <c r="N25" s="20">
        <f>SUM(N5:N24)</f>
        <v/>
      </c>
      <c r="O25" s="21">
        <f>SUM(O5:O24)</f>
        <v/>
      </c>
      <c r="P25" s="20">
        <f>SUM(P5:P24)</f>
        <v/>
      </c>
      <c r="Q25" s="21">
        <f>SUM(Q5:Q24)</f>
        <v/>
      </c>
      <c r="R25" s="20">
        <f>SUM(R5:R24)</f>
        <v/>
      </c>
      <c r="S25" s="21">
        <f>SUM(S5:S24)</f>
        <v/>
      </c>
      <c r="T25" s="20">
        <f>SUM(T5:T24)</f>
        <v/>
      </c>
      <c r="U25" s="21">
        <f>SUM(U5:U24)</f>
        <v/>
      </c>
      <c r="V25" s="20">
        <f>SUM(V5:V24)</f>
        <v/>
      </c>
      <c r="W25" s="21">
        <f>SUM(W5:W24)</f>
        <v/>
      </c>
      <c r="X25" s="20">
        <f>SUM(X5:X24)</f>
        <v/>
      </c>
      <c r="Y25" s="21">
        <f>SUM(Y5:Y24)</f>
        <v/>
      </c>
      <c r="Z25" s="20">
        <f>SUM(Z5:Z24)</f>
        <v/>
      </c>
      <c r="AA25" s="21">
        <f>SUM(AA5:AA24)</f>
        <v/>
      </c>
      <c r="AB25" s="20">
        <f>SUM(AB5:AB24)</f>
        <v/>
      </c>
      <c r="AC25" s="21">
        <f>SUM(AC5:AC24)</f>
        <v/>
      </c>
      <c r="AD25" s="20">
        <f>SUM(AD5:AD24)</f>
        <v/>
      </c>
      <c r="AE25" s="21">
        <f>SUM(AE5:AE24)</f>
        <v/>
      </c>
      <c r="AF25" s="20">
        <f>SUM(AF5:AF24)</f>
        <v/>
      </c>
      <c r="AG25" s="21">
        <f>SUM(AG5:AG24)</f>
        <v/>
      </c>
      <c r="AH25" s="20">
        <f>SUM(AH5:AH24)</f>
        <v/>
      </c>
      <c r="AI25" s="21">
        <f>SUM(AI5:AI24)</f>
        <v/>
      </c>
      <c r="AJ25" s="20">
        <f>SUM(AJ5:AJ24)</f>
        <v/>
      </c>
      <c r="AK25" s="21">
        <f>SUM(AK5:AK24)</f>
        <v/>
      </c>
      <c r="AL25" s="44">
        <f>SUM(AL5:AL24)</f>
        <v/>
      </c>
      <c r="AM25" s="45">
        <f>SUM(AM5:AM24)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2026-04-08T20:53:32Z</dcterms:created>
  <dcterms:modified xsi:type="dcterms:W3CDTF">2026-04-08T20:53:32Z</dcterms:modified>
</cp:coreProperties>
</file>