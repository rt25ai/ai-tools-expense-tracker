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i val="1"/>
      <color rgb="00595959"/>
      <sz val="10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11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center" vertical="center" wrapText="1"/>
    </xf>
    <xf numFmtId="0" fontId="13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4" fillId="3" borderId="0" applyAlignment="1" pivotButton="0" quotePrefix="0" xfId="0">
      <alignment horizontal="center" vertical="center" wrapText="1"/>
    </xf>
    <xf numFmtId="0" fontId="15" fillId="6" borderId="2" applyAlignment="1" pivotButton="0" quotePrefix="0" xfId="0">
      <alignment horizontal="left" vertical="center" wrapText="1"/>
    </xf>
    <xf numFmtId="165" fontId="16" fillId="6" borderId="2" applyAlignment="1" pivotButton="0" quotePrefix="0" xfId="0">
      <alignment horizontal="right" vertical="center"/>
    </xf>
    <xf numFmtId="166" fontId="16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5" fillId="5" borderId="2" applyAlignment="1" pivotButton="0" quotePrefix="0" xfId="0">
      <alignment horizontal="left" vertical="center" wrapText="1"/>
    </xf>
    <xf numFmtId="165" fontId="16" fillId="5" borderId="2" applyAlignment="1" pivotButton="0" quotePrefix="0" xfId="0">
      <alignment horizontal="right" vertical="center"/>
    </xf>
    <xf numFmtId="166" fontId="16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 wrapText="1"/>
    </xf>
    <xf numFmtId="165" fontId="17" fillId="2" borderId="1" applyAlignment="1" pivotButton="0" quotePrefix="0" xfId="0">
      <alignment horizontal="right" vertical="center"/>
    </xf>
    <xf numFmtId="166" fontId="17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165" fontId="18" fillId="6" borderId="2" applyAlignment="1" pivotButton="0" quotePrefix="0" xfId="0">
      <alignment horizontal="right" vertical="center"/>
    </xf>
    <xf numFmtId="166" fontId="18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3.057</v>
      </c>
      <c r="C4" s="5" t="inlineStr">
        <is>
          <t>← מקור: Bank of Israel Public API | עודכן: 2026-04-10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8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</v>
      </c>
      <c r="E3" s="13" t="n">
        <v>3.06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72</v>
      </c>
      <c r="E4" s="17" t="n">
        <v>220.1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10.59</v>
      </c>
      <c r="E5" s="13" t="n">
        <v>32.37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20</v>
      </c>
      <c r="E6" s="17" t="n">
        <v>61.14</v>
      </c>
      <c r="F6" s="14" t="inlineStr">
        <is>
          <t>יולי 2025</t>
        </is>
      </c>
    </row>
    <row r="7">
      <c r="A7" s="10" t="inlineStr">
        <is>
          <t>2025-07-20</t>
        </is>
      </c>
      <c r="B7" s="11" t="inlineStr">
        <is>
          <t>Runway ML</t>
        </is>
      </c>
      <c r="C7" s="11" t="inlineStr">
        <is>
          <t>Standard (10% affiliate off)</t>
        </is>
      </c>
      <c r="D7" s="12" t="n">
        <v>13.5</v>
      </c>
      <c r="E7" s="13" t="n">
        <v>41.27</v>
      </c>
      <c r="F7" s="10" t="inlineStr">
        <is>
          <t>יולי 2025</t>
        </is>
      </c>
    </row>
    <row r="8">
      <c r="A8" s="14" t="inlineStr">
        <is>
          <t>2025-07-30</t>
        </is>
      </c>
      <c r="B8" s="15" t="inlineStr">
        <is>
          <t>Ideogram AI</t>
        </is>
      </c>
      <c r="C8" s="15" t="inlineStr">
        <is>
          <t>Upgrade -&gt; Plus Annual</t>
        </is>
      </c>
      <c r="D8" s="16" t="n">
        <v>113.14</v>
      </c>
      <c r="E8" s="17" t="n">
        <v>345.87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Replicate</t>
        </is>
      </c>
      <c r="C9" s="11" t="inlineStr">
        <is>
          <t>Early card charge</t>
        </is>
      </c>
      <c r="D9" s="12" t="n">
        <v>10</v>
      </c>
      <c r="E9" s="13" t="n">
        <v>30.57</v>
      </c>
      <c r="F9" s="10" t="inlineStr">
        <is>
          <t>יולי 2025</t>
        </is>
      </c>
    </row>
    <row r="10">
      <c r="A10" s="14" t="inlineStr">
        <is>
          <t>2025-08-01</t>
        </is>
      </c>
      <c r="B10" s="15" t="inlineStr">
        <is>
          <t>Google Workspace</t>
        </is>
      </c>
      <c r="C10" s="15" t="inlineStr">
        <is>
          <t>Business Plus – Jul 2025 (₪56.93)</t>
        </is>
      </c>
      <c r="D10" s="16" t="n">
        <v>15.6</v>
      </c>
      <c r="E10" s="17" t="n">
        <v>56.93</v>
      </c>
      <c r="F10" s="14" t="inlineStr">
        <is>
          <t>אוגוסט 2025</t>
        </is>
      </c>
    </row>
    <row r="11">
      <c r="A11" s="10" t="inlineStr">
        <is>
          <t>2025-08-02</t>
        </is>
      </c>
      <c r="B11" s="11" t="inlineStr">
        <is>
          <t>Runway ML</t>
        </is>
      </c>
      <c r="C11" s="11" t="inlineStr">
        <is>
          <t>Credits 1,500</t>
        </is>
      </c>
      <c r="D11" s="12" t="n">
        <v>15</v>
      </c>
      <c r="E11" s="13" t="n">
        <v>45.85</v>
      </c>
      <c r="F11" s="10" t="inlineStr">
        <is>
          <t>אוגוסט 2025</t>
        </is>
      </c>
    </row>
    <row r="12">
      <c r="A12" s="14" t="inlineStr">
        <is>
          <t>2025-08-04</t>
        </is>
      </c>
      <c r="B12" s="15" t="inlineStr">
        <is>
          <t>Recraft</t>
        </is>
      </c>
      <c r="C12" s="15" t="inlineStr">
        <is>
          <t>Basic monthly</t>
        </is>
      </c>
      <c r="D12" s="16" t="n">
        <v>12</v>
      </c>
      <c r="E12" s="17" t="n">
        <v>36.68</v>
      </c>
      <c r="F12" s="14" t="inlineStr">
        <is>
          <t>אוגוסט 2025</t>
        </is>
      </c>
    </row>
    <row r="13">
      <c r="A13" s="10" t="inlineStr">
        <is>
          <t>2025-08-05</t>
        </is>
      </c>
      <c r="B13" s="11" t="inlineStr">
        <is>
          <t>Replicate</t>
        </is>
      </c>
      <c r="C13" s="11" t="inlineStr">
        <is>
          <t>Usage - July</t>
        </is>
      </c>
      <c r="D13" s="12" t="n">
        <v>0.9</v>
      </c>
      <c r="E13" s="13" t="n">
        <v>2.75</v>
      </c>
      <c r="F13" s="10" t="inlineStr">
        <is>
          <t>אוגוסט 2025</t>
        </is>
      </c>
    </row>
    <row r="14">
      <c r="A14" s="14" t="inlineStr">
        <is>
          <t>2025-08-09</t>
        </is>
      </c>
      <c r="B14" s="15" t="inlineStr">
        <is>
          <t>Manus AI</t>
        </is>
      </c>
      <c r="C14" s="15" t="inlineStr">
        <is>
          <t>Basic monthly</t>
        </is>
      </c>
      <c r="D14" s="16" t="n">
        <v>19</v>
      </c>
      <c r="E14" s="17" t="n">
        <v>58.08</v>
      </c>
      <c r="F14" s="14" t="inlineStr">
        <is>
          <t>אוגוסט 2025</t>
        </is>
      </c>
    </row>
    <row r="15">
      <c r="A15" s="10" t="inlineStr">
        <is>
          <t>2025-08-10</t>
        </is>
      </c>
      <c r="B15" s="11" t="inlineStr">
        <is>
          <t>Make</t>
        </is>
      </c>
      <c r="C15" s="11" t="inlineStr">
        <is>
          <t>Core plan 10k ops/month</t>
        </is>
      </c>
      <c r="D15" s="12" t="n">
        <v>10.59</v>
      </c>
      <c r="E15" s="13" t="n">
        <v>32.37</v>
      </c>
      <c r="F15" s="10" t="inlineStr">
        <is>
          <t>אוגוסט 2025</t>
        </is>
      </c>
    </row>
    <row r="16">
      <c r="A16" s="14" t="inlineStr">
        <is>
          <t>2025-08-11</t>
        </is>
      </c>
      <c r="B16" s="15" t="inlineStr">
        <is>
          <t>Anthropic</t>
        </is>
      </c>
      <c r="C16" s="15" t="inlineStr">
        <is>
          <t>Claude Pro</t>
        </is>
      </c>
      <c r="D16" s="16" t="n">
        <v>20</v>
      </c>
      <c r="E16" s="17" t="n">
        <v>61.14</v>
      </c>
      <c r="F16" s="14" t="inlineStr">
        <is>
          <t>אוגוסט 2025</t>
        </is>
      </c>
    </row>
    <row r="17">
      <c r="A17" s="10" t="inlineStr">
        <is>
          <t>2025-08-30</t>
        </is>
      </c>
      <c r="B17" s="11" t="inlineStr">
        <is>
          <t>Eleven Labs</t>
        </is>
      </c>
      <c r="C17" s="11" t="inlineStr">
        <is>
          <t>Starter monthly</t>
        </is>
      </c>
      <c r="D17" s="12" t="n">
        <v>5</v>
      </c>
      <c r="E17" s="13" t="n">
        <v>15.29</v>
      </c>
      <c r="F17" s="10" t="inlineStr">
        <is>
          <t>אוגוסט 2025</t>
        </is>
      </c>
    </row>
    <row r="18">
      <c r="A18" s="14" t="inlineStr">
        <is>
          <t>2025-08-30</t>
        </is>
      </c>
      <c r="B18" s="15" t="inlineStr">
        <is>
          <t>Runway ML</t>
        </is>
      </c>
      <c r="C18" s="15" t="inlineStr">
        <is>
          <t>Standard (25% off)</t>
        </is>
      </c>
      <c r="D18" s="16" t="n">
        <v>11.25</v>
      </c>
      <c r="E18" s="17" t="n">
        <v>34.39</v>
      </c>
      <c r="F18" s="14" t="inlineStr">
        <is>
          <t>אוגוסט 2025</t>
        </is>
      </c>
    </row>
    <row r="19">
      <c r="A19" s="10" t="inlineStr">
        <is>
          <t>2025-09-01</t>
        </is>
      </c>
      <c r="B19" s="11" t="inlineStr">
        <is>
          <t>Google Workspace</t>
        </is>
      </c>
      <c r="C19" s="11" t="inlineStr">
        <is>
          <t>Business Plus – Aug 2025 (₪56.93)</t>
        </is>
      </c>
      <c r="D19" s="12" t="n">
        <v>15.6</v>
      </c>
      <c r="E19" s="13" t="n">
        <v>56.93</v>
      </c>
      <c r="F19" s="10" t="inlineStr">
        <is>
          <t>ספטמבר 2025</t>
        </is>
      </c>
    </row>
    <row r="20">
      <c r="A20" s="14" t="inlineStr">
        <is>
          <t>2025-09-05</t>
        </is>
      </c>
      <c r="B20" s="15" t="inlineStr">
        <is>
          <t>Replicate</t>
        </is>
      </c>
      <c r="C20" s="15" t="inlineStr">
        <is>
          <t>Usage - August</t>
        </is>
      </c>
      <c r="D20" s="16" t="n">
        <v>2.79</v>
      </c>
      <c r="E20" s="17" t="n">
        <v>8.529999999999999</v>
      </c>
      <c r="F20" s="14" t="inlineStr">
        <is>
          <t>ספטמבר 2025</t>
        </is>
      </c>
    </row>
    <row r="21">
      <c r="A21" s="10" t="inlineStr">
        <is>
          <t>2025-09-10</t>
        </is>
      </c>
      <c r="B21" s="11" t="inlineStr">
        <is>
          <t>Make</t>
        </is>
      </c>
      <c r="C21" s="11" t="inlineStr">
        <is>
          <t>Core plan 10k ops/month</t>
        </is>
      </c>
      <c r="D21" s="12" t="n">
        <v>10.59</v>
      </c>
      <c r="E21" s="13" t="n">
        <v>32.37</v>
      </c>
      <c r="F21" s="10" t="inlineStr">
        <is>
          <t>ספטמבר 2025</t>
        </is>
      </c>
    </row>
    <row r="22">
      <c r="A22" s="14" t="inlineStr">
        <is>
          <t>2025-09-24</t>
        </is>
      </c>
      <c r="B22" s="15" t="inlineStr">
        <is>
          <t>Anthropic</t>
        </is>
      </c>
      <c r="C22" s="15" t="inlineStr">
        <is>
          <t>Claude Pro</t>
        </is>
      </c>
      <c r="D22" s="16" t="n">
        <v>20</v>
      </c>
      <c r="E22" s="17" t="n">
        <v>61.14</v>
      </c>
      <c r="F22" s="14" t="inlineStr">
        <is>
          <t>ספטמבר 2025</t>
        </is>
      </c>
    </row>
    <row r="23">
      <c r="A23" s="10" t="inlineStr">
        <is>
          <t>2025-09-30</t>
        </is>
      </c>
      <c r="B23" s="11" t="inlineStr">
        <is>
          <t>Eleven Labs</t>
        </is>
      </c>
      <c r="C23" s="11" t="inlineStr">
        <is>
          <t>Starter monthly</t>
        </is>
      </c>
      <c r="D23" s="12" t="n">
        <v>5</v>
      </c>
      <c r="E23" s="13" t="n">
        <v>15.29</v>
      </c>
      <c r="F23" s="10" t="inlineStr">
        <is>
          <t>ספטמבר 2025</t>
        </is>
      </c>
    </row>
    <row r="24">
      <c r="A24" s="14" t="inlineStr">
        <is>
          <t>2025-10-02</t>
        </is>
      </c>
      <c r="B24" s="15" t="inlineStr">
        <is>
          <t>Google Workspace</t>
        </is>
      </c>
      <c r="C24" s="15" t="inlineStr">
        <is>
          <t>Business Plus – Sep 2025 (₪56.93)</t>
        </is>
      </c>
      <c r="D24" s="16" t="n">
        <v>15.6</v>
      </c>
      <c r="E24" s="17" t="n">
        <v>56.93</v>
      </c>
      <c r="F24" s="14" t="inlineStr">
        <is>
          <t>אוקטובר 2025</t>
        </is>
      </c>
    </row>
    <row r="25">
      <c r="A25" s="10" t="inlineStr">
        <is>
          <t>2025-10-24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20</v>
      </c>
      <c r="E25" s="13" t="n">
        <v>61.14</v>
      </c>
      <c r="F25" s="10" t="inlineStr">
        <is>
          <t>אוקטובר 2025</t>
        </is>
      </c>
    </row>
    <row r="26">
      <c r="A26" s="14" t="inlineStr">
        <is>
          <t>2025-10-30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</v>
      </c>
      <c r="E26" s="17" t="n">
        <v>15.29</v>
      </c>
      <c r="F26" s="14" t="inlineStr">
        <is>
          <t>אוקטובר 2025</t>
        </is>
      </c>
    </row>
    <row r="27">
      <c r="A27" s="10" t="inlineStr">
        <is>
          <t>2025-11-09</t>
        </is>
      </c>
      <c r="B27" s="11" t="inlineStr">
        <is>
          <t>Recraft</t>
        </is>
      </c>
      <c r="C27" s="11" t="inlineStr">
        <is>
          <t>Pro 1k credits</t>
        </is>
      </c>
      <c r="D27" s="12" t="n">
        <v>12</v>
      </c>
      <c r="E27" s="13" t="n">
        <v>36.68</v>
      </c>
      <c r="F27" s="10" t="inlineStr">
        <is>
          <t>נובמבר 2025</t>
        </is>
      </c>
    </row>
    <row r="28">
      <c r="A28" s="14" t="inlineStr">
        <is>
          <t>2025-11-11</t>
        </is>
      </c>
      <c r="B28" s="15" t="inlineStr">
        <is>
          <t>Astria</t>
        </is>
      </c>
      <c r="C28" s="15" t="inlineStr">
        <is>
          <t>Credits x10 + 18% VAT</t>
        </is>
      </c>
      <c r="D28" s="16" t="n">
        <v>11.8</v>
      </c>
      <c r="E28" s="17" t="n">
        <v>36.07</v>
      </c>
      <c r="F28" s="14" t="inlineStr">
        <is>
          <t>נובמבר 2025</t>
        </is>
      </c>
    </row>
    <row r="29">
      <c r="A29" s="10" t="inlineStr">
        <is>
          <t>2025-11-11</t>
        </is>
      </c>
      <c r="B29" s="11" t="inlineStr">
        <is>
          <t>Runway ML</t>
        </is>
      </c>
      <c r="C29" s="11" t="inlineStr">
        <is>
          <t>Standard monthly</t>
        </is>
      </c>
      <c r="D29" s="12" t="n">
        <v>15</v>
      </c>
      <c r="E29" s="13" t="n">
        <v>45.85</v>
      </c>
      <c r="F29" s="10" t="inlineStr">
        <is>
          <t>נובמבר 2025</t>
        </is>
      </c>
    </row>
    <row r="30">
      <c r="A30" s="14" t="inlineStr">
        <is>
          <t>2025-11-13</t>
        </is>
      </c>
      <c r="B30" s="15" t="inlineStr">
        <is>
          <t>Hedra</t>
        </is>
      </c>
      <c r="C30" s="15" t="inlineStr">
        <is>
          <t>Extra Small Credit Pack</t>
        </is>
      </c>
      <c r="D30" s="16" t="n">
        <v>10</v>
      </c>
      <c r="E30" s="17" t="n">
        <v>30.57</v>
      </c>
      <c r="F30" s="14" t="inlineStr">
        <is>
          <t>נובמבר 2025</t>
        </is>
      </c>
    </row>
    <row r="31">
      <c r="A31" s="10" t="inlineStr">
        <is>
          <t>2025-11-24</t>
        </is>
      </c>
      <c r="B31" s="11" t="inlineStr">
        <is>
          <t>Anthropic</t>
        </is>
      </c>
      <c r="C31" s="11" t="inlineStr">
        <is>
          <t>Claude Pro</t>
        </is>
      </c>
      <c r="D31" s="12" t="n">
        <v>20</v>
      </c>
      <c r="E31" s="13" t="n">
        <v>61.14</v>
      </c>
      <c r="F31" s="10" t="inlineStr">
        <is>
          <t>נובמבר 2025</t>
        </is>
      </c>
    </row>
    <row r="32">
      <c r="A32" s="14" t="inlineStr">
        <is>
          <t>2025-11-30</t>
        </is>
      </c>
      <c r="B32" s="15" t="inlineStr">
        <is>
          <t>Eleven Labs</t>
        </is>
      </c>
      <c r="C32" s="15" t="inlineStr">
        <is>
          <t>Starter monthly</t>
        </is>
      </c>
      <c r="D32" s="16" t="n">
        <v>5</v>
      </c>
      <c r="E32" s="17" t="n">
        <v>15.29</v>
      </c>
      <c r="F32" s="14" t="inlineStr">
        <is>
          <t>נובמבר 2025</t>
        </is>
      </c>
    </row>
    <row r="33">
      <c r="A33" s="10" t="inlineStr">
        <is>
          <t>2025-12-01</t>
        </is>
      </c>
      <c r="B33" s="11" t="inlineStr">
        <is>
          <t>Google Workspace</t>
        </is>
      </c>
      <c r="C33" s="11" t="inlineStr">
        <is>
          <t>Business Plus – Nov 2025 (₪75.90)</t>
        </is>
      </c>
      <c r="D33" s="12" t="n">
        <v>20.79</v>
      </c>
      <c r="E33" s="13" t="n">
        <v>75.90000000000001</v>
      </c>
      <c r="F33" s="10" t="inlineStr">
        <is>
          <t>דצמבר 2025</t>
        </is>
      </c>
    </row>
    <row r="34">
      <c r="A34" s="14" t="inlineStr">
        <is>
          <t>2025-12-03</t>
        </is>
      </c>
      <c r="B34" s="15" t="inlineStr">
        <is>
          <t>Manychat</t>
        </is>
      </c>
      <c r="C34" s="15" t="inlineStr">
        <is>
          <t>Pro monthly</t>
        </is>
      </c>
      <c r="D34" s="16" t="n">
        <v>15</v>
      </c>
      <c r="E34" s="17" t="n">
        <v>45.85</v>
      </c>
      <c r="F34" s="14" t="inlineStr">
        <is>
          <t>דצמבר 2025</t>
        </is>
      </c>
    </row>
    <row r="35">
      <c r="A35" s="10" t="inlineStr">
        <is>
          <t>2025-12-03</t>
        </is>
      </c>
      <c r="B35" s="11" t="inlineStr">
        <is>
          <t>Meta (Ads)</t>
        </is>
      </c>
      <c r="C35" s="11" t="inlineStr">
        <is>
          <t>Facebook Ads</t>
        </is>
      </c>
      <c r="D35" s="12" t="n">
        <v>9.720000000000001</v>
      </c>
      <c r="E35" s="13" t="n">
        <v>29.71</v>
      </c>
      <c r="F35" s="10" t="inlineStr">
        <is>
          <t>דצמבר 2025</t>
        </is>
      </c>
    </row>
    <row r="36">
      <c r="A36" s="14" t="inlineStr">
        <is>
          <t>2025-12-08</t>
        </is>
      </c>
      <c r="B36" s="15" t="inlineStr">
        <is>
          <t>Meta (Ads)</t>
        </is>
      </c>
      <c r="C36" s="15" t="inlineStr">
        <is>
          <t>Facebook Ads</t>
        </is>
      </c>
      <c r="D36" s="16" t="n">
        <v>30</v>
      </c>
      <c r="E36" s="17" t="n">
        <v>91.70999999999999</v>
      </c>
      <c r="F36" s="14" t="inlineStr">
        <is>
          <t>דצמבר 2025</t>
        </is>
      </c>
    </row>
    <row r="37">
      <c r="A37" s="10" t="inlineStr">
        <is>
          <t>2025-12-16</t>
        </is>
      </c>
      <c r="B37" s="11" t="inlineStr">
        <is>
          <t>Meta (Ads)</t>
        </is>
      </c>
      <c r="C37" s="11" t="inlineStr">
        <is>
          <t>Facebook Ads</t>
        </is>
      </c>
      <c r="D37" s="12" t="n">
        <v>33</v>
      </c>
      <c r="E37" s="13" t="n">
        <v>100.88</v>
      </c>
      <c r="F37" s="10" t="inlineStr">
        <is>
          <t>דצמבר 2025</t>
        </is>
      </c>
    </row>
    <row r="38">
      <c r="A38" s="14" t="inlineStr">
        <is>
          <t>2025-12-29</t>
        </is>
      </c>
      <c r="B38" s="15" t="inlineStr">
        <is>
          <t>Meta (Ads)</t>
        </is>
      </c>
      <c r="C38" s="15" t="inlineStr">
        <is>
          <t>Facebook Ads</t>
        </is>
      </c>
      <c r="D38" s="16" t="n">
        <v>36</v>
      </c>
      <c r="E38" s="17" t="n">
        <v>110.05</v>
      </c>
      <c r="F38" s="14" t="inlineStr">
        <is>
          <t>דצמבר 2025</t>
        </is>
      </c>
    </row>
    <row r="39">
      <c r="A39" s="10" t="inlineStr">
        <is>
          <t>2025-12-30</t>
        </is>
      </c>
      <c r="B39" s="11" t="inlineStr">
        <is>
          <t>Eleven Labs</t>
        </is>
      </c>
      <c r="C39" s="11" t="inlineStr">
        <is>
          <t>Starter monthly</t>
        </is>
      </c>
      <c r="D39" s="12" t="n">
        <v>5</v>
      </c>
      <c r="E39" s="13" t="n">
        <v>15.29</v>
      </c>
      <c r="F39" s="10" t="inlineStr">
        <is>
          <t>דצמבר 2025</t>
        </is>
      </c>
    </row>
    <row r="40">
      <c r="A40" s="14" t="inlineStr">
        <is>
          <t>2026-01-01</t>
        </is>
      </c>
      <c r="B40" s="15" t="inlineStr">
        <is>
          <t>Google Workspace</t>
        </is>
      </c>
      <c r="C40" s="15" t="inlineStr">
        <is>
          <t>Business Plus – Dec 2025 (₪75.90)</t>
        </is>
      </c>
      <c r="D40" s="16" t="n">
        <v>20.79</v>
      </c>
      <c r="E40" s="17" t="n">
        <v>75.90000000000001</v>
      </c>
      <c r="F40" s="14" t="inlineStr">
        <is>
          <t>ינואר 2026</t>
        </is>
      </c>
    </row>
    <row r="41">
      <c r="A41" s="10" t="inlineStr">
        <is>
          <t>2026-01-03</t>
        </is>
      </c>
      <c r="B41" s="11" t="inlineStr">
        <is>
          <t>Genspark</t>
        </is>
      </c>
      <c r="C41" s="11" t="inlineStr">
        <is>
          <t>Plus Annual (happynewyear26 promo)</t>
        </is>
      </c>
      <c r="D41" s="12" t="n">
        <v>139.92</v>
      </c>
      <c r="E41" s="13" t="n">
        <v>427.74</v>
      </c>
      <c r="F41" s="10" t="inlineStr">
        <is>
          <t>ינואר 2026</t>
        </is>
      </c>
    </row>
    <row r="42">
      <c r="A42" s="14" t="inlineStr">
        <is>
          <t>2026-01-03</t>
        </is>
      </c>
      <c r="B42" s="15" t="inlineStr">
        <is>
          <t>Manychat</t>
        </is>
      </c>
      <c r="C42" s="15" t="inlineStr">
        <is>
          <t>Pro monthly</t>
        </is>
      </c>
      <c r="D42" s="16" t="n">
        <v>15</v>
      </c>
      <c r="E42" s="17" t="n">
        <v>45.85</v>
      </c>
      <c r="F42" s="14" t="inlineStr">
        <is>
          <t>ינואר 2026</t>
        </is>
      </c>
    </row>
    <row r="43">
      <c r="A43" s="10" t="inlineStr">
        <is>
          <t>2026-01-03</t>
        </is>
      </c>
      <c r="B43" s="11" t="inlineStr">
        <is>
          <t>Meta (Ads)</t>
        </is>
      </c>
      <c r="C43" s="11" t="inlineStr">
        <is>
          <t>Facebook Ads</t>
        </is>
      </c>
      <c r="D43" s="12" t="n">
        <v>19.43</v>
      </c>
      <c r="E43" s="13" t="n">
        <v>59.4</v>
      </c>
      <c r="F43" s="10" t="inlineStr">
        <is>
          <t>ינואר 2026</t>
        </is>
      </c>
    </row>
    <row r="44">
      <c r="A44" s="14" t="inlineStr">
        <is>
          <t>2026-01-05</t>
        </is>
      </c>
      <c r="B44" s="15" t="inlineStr">
        <is>
          <t>Genspark</t>
        </is>
      </c>
      <c r="C44" s="15" t="inlineStr">
        <is>
          <t>Credits Pack</t>
        </is>
      </c>
      <c r="D44" s="16" t="n">
        <v>20</v>
      </c>
      <c r="E44" s="17" t="n">
        <v>61.14</v>
      </c>
      <c r="F44" s="14" t="inlineStr">
        <is>
          <t>ינואר 2026</t>
        </is>
      </c>
    </row>
    <row r="45">
      <c r="A45" s="10" t="inlineStr">
        <is>
          <t>2026-01-08</t>
        </is>
      </c>
      <c r="B45" s="11" t="inlineStr">
        <is>
          <t>Genspark</t>
        </is>
      </c>
      <c r="C45" s="11" t="inlineStr">
        <is>
          <t>Credits Pack</t>
        </is>
      </c>
      <c r="D45" s="12" t="n">
        <v>20</v>
      </c>
      <c r="E45" s="13" t="n">
        <v>61.14</v>
      </c>
      <c r="F45" s="10" t="inlineStr">
        <is>
          <t>ינואר 2026</t>
        </is>
      </c>
    </row>
    <row r="46">
      <c r="A46" s="14" t="inlineStr">
        <is>
          <t>2026-01-10</t>
        </is>
      </c>
      <c r="B46" s="15" t="inlineStr">
        <is>
          <t>CapCut</t>
        </is>
      </c>
      <c r="C46" s="15" t="inlineStr">
        <is>
          <t>Pro – Jan 2026 (₪49.90)</t>
        </is>
      </c>
      <c r="D46" s="16" t="n">
        <v>13.67</v>
      </c>
      <c r="E46" s="17" t="n">
        <v>49.9</v>
      </c>
      <c r="F46" s="14" t="inlineStr">
        <is>
          <t>ינואר 2026</t>
        </is>
      </c>
    </row>
    <row r="47">
      <c r="A47" s="10" t="inlineStr">
        <is>
          <t>2026-01-19</t>
        </is>
      </c>
      <c r="B47" s="11" t="inlineStr">
        <is>
          <t>Meta (Ads)</t>
        </is>
      </c>
      <c r="C47" s="11" t="inlineStr">
        <is>
          <t>Facebook Ads</t>
        </is>
      </c>
      <c r="D47" s="12" t="n">
        <v>39</v>
      </c>
      <c r="E47" s="13" t="n">
        <v>119.22</v>
      </c>
      <c r="F47" s="10" t="inlineStr">
        <is>
          <t>ינואר 2026</t>
        </is>
      </c>
    </row>
    <row r="48">
      <c r="A48" s="14" t="inlineStr">
        <is>
          <t>2026-01-25</t>
        </is>
      </c>
      <c r="B48" s="15" t="inlineStr">
        <is>
          <t>Lovable</t>
        </is>
      </c>
      <c r="C48" s="15" t="inlineStr">
        <is>
          <t>Pro 1 monthly</t>
        </is>
      </c>
      <c r="D48" s="16" t="n">
        <v>25</v>
      </c>
      <c r="E48" s="17" t="n">
        <v>76.42</v>
      </c>
      <c r="F48" s="14" t="inlineStr">
        <is>
          <t>ינואר 2026</t>
        </is>
      </c>
    </row>
    <row r="49">
      <c r="A49" s="10" t="inlineStr">
        <is>
          <t>2026-01-27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43</v>
      </c>
      <c r="E49" s="13" t="n">
        <v>131.45</v>
      </c>
      <c r="F49" s="10" t="inlineStr">
        <is>
          <t>ינואר 2026</t>
        </is>
      </c>
    </row>
    <row r="50">
      <c r="A50" s="14" t="inlineStr">
        <is>
          <t>2026-01-30</t>
        </is>
      </c>
      <c r="B50" s="15" t="inlineStr">
        <is>
          <t>Eleven Labs</t>
        </is>
      </c>
      <c r="C50" s="15" t="inlineStr">
        <is>
          <t>Starter monthly</t>
        </is>
      </c>
      <c r="D50" s="16" t="n">
        <v>5</v>
      </c>
      <c r="E50" s="17" t="n">
        <v>15.29</v>
      </c>
      <c r="F50" s="14" t="inlineStr">
        <is>
          <t>ינואר 2026</t>
        </is>
      </c>
    </row>
    <row r="51">
      <c r="A51" s="10" t="inlineStr">
        <is>
          <t>2026-01-30</t>
        </is>
      </c>
      <c r="B51" s="11" t="inlineStr">
        <is>
          <t>Timeless</t>
        </is>
      </c>
      <c r="C51" s="11" t="inlineStr">
        <is>
          <t>Pro monthly (50% off)</t>
        </is>
      </c>
      <c r="D51" s="12" t="n">
        <v>14.5</v>
      </c>
      <c r="E51" s="13" t="n">
        <v>44.33</v>
      </c>
      <c r="F51" s="10" t="inlineStr">
        <is>
          <t>ינואר 2026</t>
        </is>
      </c>
    </row>
    <row r="52">
      <c r="A52" s="14" t="inlineStr">
        <is>
          <t>2026-02-01</t>
        </is>
      </c>
      <c r="B52" s="15" t="inlineStr">
        <is>
          <t>Lovable</t>
        </is>
      </c>
      <c r="C52" s="15" t="inlineStr">
        <is>
          <t>Upgrade Pro1 -&gt; Pro2 (prorated)</t>
        </is>
      </c>
      <c r="D52" s="16" t="n">
        <v>25</v>
      </c>
      <c r="E52" s="17" t="n">
        <v>76.42</v>
      </c>
      <c r="F52" s="14" t="inlineStr">
        <is>
          <t>פברואר 2026</t>
        </is>
      </c>
    </row>
    <row r="53">
      <c r="A53" s="10" t="inlineStr">
        <is>
          <t>2026-02-02</t>
        </is>
      </c>
      <c r="B53" s="11" t="inlineStr">
        <is>
          <t>Google Workspace</t>
        </is>
      </c>
      <c r="C53" s="11" t="inlineStr">
        <is>
          <t>Business Plus – Jan 2026 (₪75.90)</t>
        </is>
      </c>
      <c r="D53" s="12" t="n">
        <v>20.79</v>
      </c>
      <c r="E53" s="13" t="n">
        <v>75.90000000000001</v>
      </c>
      <c r="F53" s="10" t="inlineStr">
        <is>
          <t>פברואר 2026</t>
        </is>
      </c>
    </row>
    <row r="54">
      <c r="A54" s="14" t="inlineStr">
        <is>
          <t>2026-02-03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31.42</v>
      </c>
      <c r="E54" s="17" t="n">
        <v>96.05</v>
      </c>
      <c r="F54" s="14" t="inlineStr">
        <is>
          <t>פברואר 2026</t>
        </is>
      </c>
    </row>
    <row r="55">
      <c r="A55" s="10" t="inlineStr">
        <is>
          <t>2026-02-10</t>
        </is>
      </c>
      <c r="B55" s="11" t="inlineStr">
        <is>
          <t>CapCut</t>
        </is>
      </c>
      <c r="C55" s="11" t="inlineStr">
        <is>
          <t>Pro – Feb 2026 (₪49.90)</t>
        </is>
      </c>
      <c r="D55" s="12" t="n">
        <v>13.67</v>
      </c>
      <c r="E55" s="13" t="n">
        <v>49.9</v>
      </c>
      <c r="F55" s="10" t="inlineStr">
        <is>
          <t>פברואר 2026</t>
        </is>
      </c>
    </row>
    <row r="56">
      <c r="A56" s="14" t="inlineStr">
        <is>
          <t>2026-02-12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47</v>
      </c>
      <c r="E56" s="17" t="n">
        <v>143.68</v>
      </c>
      <c r="F56" s="14" t="inlineStr">
        <is>
          <t>פברואר 2026</t>
        </is>
      </c>
    </row>
    <row r="57">
      <c r="A57" s="10" t="inlineStr">
        <is>
          <t>2026-02-15</t>
        </is>
      </c>
      <c r="B57" s="11" t="inlineStr">
        <is>
          <t>Anthropic</t>
        </is>
      </c>
      <c r="C57" s="11" t="inlineStr">
        <is>
          <t>Claude Pro</t>
        </is>
      </c>
      <c r="D57" s="12" t="n">
        <v>20</v>
      </c>
      <c r="E57" s="13" t="n">
        <v>61.14</v>
      </c>
      <c r="F57" s="10" t="inlineStr">
        <is>
          <t>פברואר 2026</t>
        </is>
      </c>
    </row>
    <row r="58">
      <c r="A58" s="14" t="inlineStr">
        <is>
          <t>2026-02-16</t>
        </is>
      </c>
      <c r="B58" s="15" t="inlineStr">
        <is>
          <t>Anthropic</t>
        </is>
      </c>
      <c r="C58" s="15" t="inlineStr">
        <is>
          <t>Credit purchase</t>
        </is>
      </c>
      <c r="D58" s="16" t="n">
        <v>5</v>
      </c>
      <c r="E58" s="17" t="n">
        <v>15.29</v>
      </c>
      <c r="F58" s="14" t="inlineStr">
        <is>
          <t>פברואר 2026</t>
        </is>
      </c>
    </row>
    <row r="59">
      <c r="A59" s="10" t="inlineStr">
        <is>
          <t>2026-02-24</t>
        </is>
      </c>
      <c r="B59" s="11" t="inlineStr">
        <is>
          <t>Higgsfield</t>
        </is>
      </c>
      <c r="C59" s="11" t="inlineStr">
        <is>
          <t>On-Demand credits 500</t>
        </is>
      </c>
      <c r="D59" s="12" t="n">
        <v>20</v>
      </c>
      <c r="E59" s="13" t="n">
        <v>61.14</v>
      </c>
      <c r="F59" s="10" t="inlineStr">
        <is>
          <t>פברואר 2026</t>
        </is>
      </c>
    </row>
    <row r="60">
      <c r="A60" s="14" t="inlineStr">
        <is>
          <t>2026-02-25</t>
        </is>
      </c>
      <c r="B60" s="15" t="inlineStr">
        <is>
          <t>Lovable</t>
        </is>
      </c>
      <c r="C60" s="15" t="inlineStr">
        <is>
          <t>Pro2 monthly</t>
        </is>
      </c>
      <c r="D60" s="16" t="n">
        <v>50</v>
      </c>
      <c r="E60" s="17" t="n">
        <v>152.85</v>
      </c>
      <c r="F60" s="14" t="inlineStr">
        <is>
          <t>פברואר 2026</t>
        </is>
      </c>
    </row>
    <row r="61">
      <c r="A61" s="10" t="inlineStr">
        <is>
          <t>2026-02-25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51</v>
      </c>
      <c r="E61" s="13" t="n">
        <v>155.91</v>
      </c>
      <c r="F61" s="10" t="inlineStr">
        <is>
          <t>פברואר 2026</t>
        </is>
      </c>
    </row>
    <row r="62">
      <c r="A62" s="14" t="inlineStr">
        <is>
          <t>2026-02-28</t>
        </is>
      </c>
      <c r="B62" s="15" t="inlineStr">
        <is>
          <t>Eleven Labs</t>
        </is>
      </c>
      <c r="C62" s="15" t="inlineStr">
        <is>
          <t>Starter monthly</t>
        </is>
      </c>
      <c r="D62" s="16" t="n">
        <v>5</v>
      </c>
      <c r="E62" s="17" t="n">
        <v>15.29</v>
      </c>
      <c r="F62" s="14" t="inlineStr">
        <is>
          <t>פברואר 2026</t>
        </is>
      </c>
    </row>
    <row r="63">
      <c r="A63" s="10" t="inlineStr">
        <is>
          <t>2026-02-28</t>
        </is>
      </c>
      <c r="B63" s="11" t="inlineStr">
        <is>
          <t>Lovable</t>
        </is>
      </c>
      <c r="C63" s="11" t="inlineStr">
        <is>
          <t>Cloud &amp; AI Balance Top-up</t>
        </is>
      </c>
      <c r="D63" s="12" t="n">
        <v>10</v>
      </c>
      <c r="E63" s="13" t="n">
        <v>30.57</v>
      </c>
      <c r="F63" s="10" t="inlineStr">
        <is>
          <t>פברואר 2026</t>
        </is>
      </c>
    </row>
    <row r="64">
      <c r="A64" s="14" t="inlineStr">
        <is>
          <t>2026-03-01</t>
        </is>
      </c>
      <c r="B64" s="15" t="inlineStr">
        <is>
          <t>Lovable</t>
        </is>
      </c>
      <c r="C64" s="15" t="inlineStr">
        <is>
          <t>Cloud &amp; AI Balance Top-up</t>
        </is>
      </c>
      <c r="D64" s="16" t="n">
        <v>10</v>
      </c>
      <c r="E64" s="17" t="n">
        <v>30.57</v>
      </c>
      <c r="F64" s="14" t="inlineStr">
        <is>
          <t>מרץ 2026</t>
        </is>
      </c>
    </row>
    <row r="65">
      <c r="A65" s="10" t="inlineStr">
        <is>
          <t>2026-03-01</t>
        </is>
      </c>
      <c r="B65" s="11" t="inlineStr">
        <is>
          <t>Timeless</t>
        </is>
      </c>
      <c r="C65" s="11" t="inlineStr">
        <is>
          <t>Pro monthly (50% off)</t>
        </is>
      </c>
      <c r="D65" s="12" t="n">
        <v>14.5</v>
      </c>
      <c r="E65" s="13" t="n">
        <v>44.33</v>
      </c>
      <c r="F65" s="10" t="inlineStr">
        <is>
          <t>מרץ 2026</t>
        </is>
      </c>
    </row>
    <row r="66">
      <c r="A66" s="14" t="inlineStr">
        <is>
          <t>2026-03-02</t>
        </is>
      </c>
      <c r="B66" s="15" t="inlineStr">
        <is>
          <t>Google Workspace</t>
        </is>
      </c>
      <c r="C66" s="15" t="inlineStr">
        <is>
          <t>Business Plus – Feb 2026 (₪75.90)</t>
        </is>
      </c>
      <c r="D66" s="16" t="n">
        <v>20.79</v>
      </c>
      <c r="E66" s="17" t="n">
        <v>75.90000000000001</v>
      </c>
      <c r="F66" s="14" t="inlineStr">
        <is>
          <t>מרץ 2026</t>
        </is>
      </c>
    </row>
    <row r="67">
      <c r="A67" s="10" t="inlineStr">
        <is>
          <t>2026-03-02</t>
        </is>
      </c>
      <c r="B67" s="11" t="inlineStr">
        <is>
          <t>Lovable</t>
        </is>
      </c>
      <c r="C67" s="11" t="inlineStr">
        <is>
          <t>Cloud &amp; AI Balance Top-up</t>
        </is>
      </c>
      <c r="D67" s="12" t="n">
        <v>10</v>
      </c>
      <c r="E67" s="13" t="n">
        <v>30.57</v>
      </c>
      <c r="F67" s="10" t="inlineStr">
        <is>
          <t>מרץ 2026</t>
        </is>
      </c>
    </row>
    <row r="68">
      <c r="A68" s="14" t="inlineStr">
        <is>
          <t>2026-03-03</t>
        </is>
      </c>
      <c r="B68" s="15" t="inlineStr">
        <is>
          <t>Meta (Ads)</t>
        </is>
      </c>
      <c r="C68" s="15" t="inlineStr">
        <is>
          <t>Facebook Ads</t>
        </is>
      </c>
      <c r="D68" s="16" t="n">
        <v>40.11</v>
      </c>
      <c r="E68" s="17" t="n">
        <v>122.62</v>
      </c>
      <c r="F68" s="14" t="inlineStr">
        <is>
          <t>מרץ 2026</t>
        </is>
      </c>
    </row>
    <row r="69">
      <c r="A69" s="10" t="inlineStr">
        <is>
          <t>2026-03-10</t>
        </is>
      </c>
      <c r="B69" s="11" t="inlineStr">
        <is>
          <t>CapCut</t>
        </is>
      </c>
      <c r="C69" s="11" t="inlineStr">
        <is>
          <t>Pro – Mar 2026 (₪49.90)</t>
        </is>
      </c>
      <c r="D69" s="12" t="n">
        <v>13.67</v>
      </c>
      <c r="E69" s="13" t="n">
        <v>49.9</v>
      </c>
      <c r="F69" s="10" t="inlineStr">
        <is>
          <t>מרץ 2026</t>
        </is>
      </c>
    </row>
    <row r="70">
      <c r="A70" s="14" t="inlineStr">
        <is>
          <t>2026-03-12</t>
        </is>
      </c>
      <c r="B70" s="15" t="inlineStr">
        <is>
          <t>Meta (Ads)</t>
        </is>
      </c>
      <c r="C70" s="15" t="inlineStr">
        <is>
          <t>Facebook Ads</t>
        </is>
      </c>
      <c r="D70" s="16" t="n">
        <v>51</v>
      </c>
      <c r="E70" s="17" t="n">
        <v>155.91</v>
      </c>
      <c r="F70" s="14" t="inlineStr">
        <is>
          <t>מרץ 2026</t>
        </is>
      </c>
    </row>
    <row r="71">
      <c r="A71" s="10" t="inlineStr">
        <is>
          <t>2026-03-15</t>
        </is>
      </c>
      <c r="B71" s="11" t="inlineStr">
        <is>
          <t>Anthropic</t>
        </is>
      </c>
      <c r="C71" s="11" t="inlineStr">
        <is>
          <t>Claude Pro</t>
        </is>
      </c>
      <c r="D71" s="12" t="n">
        <v>20</v>
      </c>
      <c r="E71" s="13" t="n">
        <v>61.14</v>
      </c>
      <c r="F71" s="10" t="inlineStr">
        <is>
          <t>מרץ 2026</t>
        </is>
      </c>
    </row>
    <row r="72">
      <c r="A72" s="14" t="inlineStr">
        <is>
          <t>2026-03-19</t>
        </is>
      </c>
      <c r="B72" s="15" t="inlineStr">
        <is>
          <t>Anthropic</t>
        </is>
      </c>
      <c r="C72" s="15" t="inlineStr">
        <is>
          <t>Credit purchase</t>
        </is>
      </c>
      <c r="D72" s="16" t="n">
        <v>10</v>
      </c>
      <c r="E72" s="17" t="n">
        <v>30.57</v>
      </c>
      <c r="F72" s="14" t="inlineStr">
        <is>
          <t>מרץ 2026</t>
        </is>
      </c>
    </row>
    <row r="73">
      <c r="A73" s="10" t="inlineStr">
        <is>
          <t>2026-03-19</t>
        </is>
      </c>
      <c r="B73" s="11" t="inlineStr">
        <is>
          <t>Eleven Labs</t>
        </is>
      </c>
      <c r="C73" s="11" t="inlineStr">
        <is>
          <t>Creator (first month 50% off)</t>
        </is>
      </c>
      <c r="D73" s="12" t="n">
        <v>11</v>
      </c>
      <c r="E73" s="13" t="n">
        <v>33.63</v>
      </c>
      <c r="F73" s="10" t="inlineStr">
        <is>
          <t>מרץ 2026</t>
        </is>
      </c>
    </row>
    <row r="74">
      <c r="A74" s="14" t="inlineStr">
        <is>
          <t>2026-03-24</t>
        </is>
      </c>
      <c r="B74" s="15" t="inlineStr">
        <is>
          <t>Dzine</t>
        </is>
      </c>
      <c r="C74" s="15" t="inlineStr">
        <is>
          <t>Video Top-Up</t>
        </is>
      </c>
      <c r="D74" s="16" t="n">
        <v>9</v>
      </c>
      <c r="E74" s="17" t="n">
        <v>27.51</v>
      </c>
      <c r="F74" s="14" t="inlineStr">
        <is>
          <t>מרץ 2026</t>
        </is>
      </c>
    </row>
    <row r="75">
      <c r="A75" s="10" t="inlineStr">
        <is>
          <t>2026-03-25</t>
        </is>
      </c>
      <c r="B75" s="11" t="inlineStr">
        <is>
          <t>Lovable</t>
        </is>
      </c>
      <c r="C75" s="11" t="inlineStr">
        <is>
          <t>Lite plan</t>
        </is>
      </c>
      <c r="D75" s="12" t="n">
        <v>5</v>
      </c>
      <c r="E75" s="13" t="n">
        <v>15.29</v>
      </c>
      <c r="F75" s="10" t="inlineStr">
        <is>
          <t>מרץ 2026</t>
        </is>
      </c>
    </row>
    <row r="76">
      <c r="A76" s="14" t="inlineStr">
        <is>
          <t>2026-03-26</t>
        </is>
      </c>
      <c r="B76" s="15" t="inlineStr">
        <is>
          <t>Dzine</t>
        </is>
      </c>
      <c r="C76" s="15" t="inlineStr">
        <is>
          <t>Video Top-Up</t>
        </is>
      </c>
      <c r="D76" s="16" t="n">
        <v>20</v>
      </c>
      <c r="E76" s="17" t="n">
        <v>61.14</v>
      </c>
      <c r="F76" s="14" t="inlineStr">
        <is>
          <t>מרץ 2026</t>
        </is>
      </c>
    </row>
    <row r="77">
      <c r="A77" s="10" t="inlineStr">
        <is>
          <t>2026-04-01</t>
        </is>
      </c>
      <c r="B77" s="11" t="inlineStr">
        <is>
          <t>Anthropic</t>
        </is>
      </c>
      <c r="C77" s="11" t="inlineStr">
        <is>
          <t>Claude Pro</t>
        </is>
      </c>
      <c r="D77" s="12" t="n">
        <v>20</v>
      </c>
      <c r="E77" s="13" t="n">
        <v>61.14</v>
      </c>
      <c r="F77" s="10" t="inlineStr">
        <is>
          <t>אפריל 2026</t>
        </is>
      </c>
    </row>
    <row r="78">
      <c r="A78" s="14" t="inlineStr">
        <is>
          <t>2026-04-01</t>
        </is>
      </c>
      <c r="B78" s="15" t="inlineStr">
        <is>
          <t>Anthropic</t>
        </is>
      </c>
      <c r="C78" s="15" t="inlineStr">
        <is>
          <t>Credit purchase</t>
        </is>
      </c>
      <c r="D78" s="16" t="n">
        <v>5</v>
      </c>
      <c r="E78" s="17" t="n">
        <v>15.29</v>
      </c>
      <c r="F78" s="14" t="inlineStr">
        <is>
          <t>אפריל 2026</t>
        </is>
      </c>
    </row>
    <row r="79">
      <c r="A79" s="10" t="inlineStr">
        <is>
          <t>2026-04-01</t>
        </is>
      </c>
      <c r="B79" s="11" t="inlineStr">
        <is>
          <t>Google Workspace</t>
        </is>
      </c>
      <c r="C79" s="11" t="inlineStr">
        <is>
          <t>Business Plus – Mar 2026 (₪75.90)</t>
        </is>
      </c>
      <c r="D79" s="12" t="n">
        <v>20.79</v>
      </c>
      <c r="E79" s="13" t="n">
        <v>75.90000000000001</v>
      </c>
      <c r="F79" s="10" t="inlineStr">
        <is>
          <t>אפריל 2026</t>
        </is>
      </c>
    </row>
    <row r="80">
      <c r="A80" s="14" t="inlineStr">
        <is>
          <t>2026-04-01</t>
        </is>
      </c>
      <c r="B80" s="15" t="inlineStr">
        <is>
          <t>Meta (Ads)</t>
        </is>
      </c>
      <c r="C80" s="15" t="inlineStr">
        <is>
          <t>Facebook Ads</t>
        </is>
      </c>
      <c r="D80" s="16" t="n">
        <v>51</v>
      </c>
      <c r="E80" s="17" t="n">
        <v>155.91</v>
      </c>
      <c r="F80" s="14" t="inlineStr">
        <is>
          <t>אפריל 2026</t>
        </is>
      </c>
    </row>
    <row r="81">
      <c r="A81" s="10" t="inlineStr">
        <is>
          <t>2026-04-02</t>
        </is>
      </c>
      <c r="B81" s="11" t="inlineStr">
        <is>
          <t>Dzine</t>
        </is>
      </c>
      <c r="C81" s="11" t="inlineStr">
        <is>
          <t>Video Top-Up</t>
        </is>
      </c>
      <c r="D81" s="12" t="n">
        <v>18</v>
      </c>
      <c r="E81" s="13" t="n">
        <v>55.03</v>
      </c>
      <c r="F81" s="10" t="inlineStr">
        <is>
          <t>אפריל 2026</t>
        </is>
      </c>
    </row>
    <row r="82">
      <c r="A82" s="14" t="inlineStr">
        <is>
          <t>2026-04-03</t>
        </is>
      </c>
      <c r="B82" s="15" t="inlineStr">
        <is>
          <t>Meta (Ads)</t>
        </is>
      </c>
      <c r="C82" s="15" t="inlineStr">
        <is>
          <t>Facebook Ads</t>
        </is>
      </c>
      <c r="D82" s="16" t="n">
        <v>2.25</v>
      </c>
      <c r="E82" s="17" t="n">
        <v>6.88</v>
      </c>
      <c r="F82" s="14" t="inlineStr">
        <is>
          <t>אפריל 2026</t>
        </is>
      </c>
    </row>
    <row r="83">
      <c r="A83" s="10" t="inlineStr">
        <is>
          <t>2026-04-05</t>
        </is>
      </c>
      <c r="B83" s="11" t="inlineStr">
        <is>
          <t>IONOS</t>
        </is>
      </c>
      <c r="C83" s="11" t="inlineStr">
        <is>
          <t>Instant Domain</t>
        </is>
      </c>
      <c r="D83" s="12" t="n">
        <v>20</v>
      </c>
      <c r="E83" s="13" t="n">
        <v>61.14</v>
      </c>
      <c r="F83" s="10" t="inlineStr">
        <is>
          <t>אפריל 2026</t>
        </is>
      </c>
    </row>
    <row r="84">
      <c r="A84" s="14" t="inlineStr">
        <is>
          <t>2026-04-10</t>
        </is>
      </c>
      <c r="B84" s="15" t="inlineStr">
        <is>
          <t>CapCut</t>
        </is>
      </c>
      <c r="C84" s="15" t="inlineStr">
        <is>
          <t>capcut_pro_discount1</t>
        </is>
      </c>
      <c r="D84" s="16" t="n">
        <v>16.323193</v>
      </c>
      <c r="E84" s="17" t="n">
        <v>49.9</v>
      </c>
      <c r="F84" s="14" t="inlineStr">
        <is>
          <t>אפריל 2026</t>
        </is>
      </c>
    </row>
    <row r="85">
      <c r="A85" s="18" t="inlineStr">
        <is>
          <t>סה"כ"</t>
        </is>
      </c>
      <c r="B85" s="19" t="n"/>
      <c r="C85" s="19" t="n"/>
      <c r="D85" s="20">
        <f>SUM(D3:D84)</f>
        <v/>
      </c>
      <c r="E85" s="21">
        <f>SUM(E3:E84)</f>
        <v/>
      </c>
      <c r="F85" s="19" t="n"/>
    </row>
  </sheetData>
  <mergeCells count="2">
    <mergeCell ref="A1:F1"/>
    <mergeCell ref="A85:C8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</v>
      </c>
      <c r="E4" s="26" t="n">
        <v>3.06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72</v>
      </c>
      <c r="E5" s="28" t="n">
        <v>220.1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61.14</v>
      </c>
      <c r="F7" s="29" t="n"/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25" t="n">
        <v>13.5</v>
      </c>
      <c r="E8" s="26" t="n">
        <v>41.27</v>
      </c>
      <c r="F8" s="24" t="n"/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27" t="n">
        <v>113.14</v>
      </c>
      <c r="E9" s="28" t="n">
        <v>345.87</v>
      </c>
      <c r="F9" s="29" t="n"/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25" t="n">
        <v>10</v>
      </c>
      <c r="E10" s="26" t="n">
        <v>30.57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15</v>
      </c>
      <c r="E5" s="28" t="n">
        <v>45.85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12</v>
      </c>
      <c r="E6" s="26" t="n">
        <v>36.68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0.9</v>
      </c>
      <c r="E7" s="28" t="n">
        <v>2.75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19</v>
      </c>
      <c r="E8" s="26" t="n">
        <v>58.08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10.59</v>
      </c>
      <c r="E9" s="28" t="n">
        <v>32.37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2025-08-30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</v>
      </c>
      <c r="E11" s="28" t="n">
        <v>15.29</v>
      </c>
      <c r="F11" s="29" t="n"/>
    </row>
    <row r="12">
      <c r="A12" s="14" t="inlineStr">
        <is>
          <t>2025-08-30</t>
        </is>
      </c>
      <c r="B12" s="15" t="inlineStr">
        <is>
          <t>Runway ML</t>
        </is>
      </c>
      <c r="C12" s="15" t="inlineStr">
        <is>
          <t>Standard (25% off)</t>
        </is>
      </c>
      <c r="D12" s="25" t="n">
        <v>11.25</v>
      </c>
      <c r="E12" s="26" t="n">
        <v>34.39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2.79</v>
      </c>
      <c r="E5" s="28" t="n">
        <v>8.529999999999999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2025-09-24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61.14</v>
      </c>
      <c r="F7" s="29" t="n"/>
    </row>
    <row r="8">
      <c r="A8" s="14" t="inlineStr">
        <is>
          <t>2025-09-30</t>
        </is>
      </c>
      <c r="B8" s="15" t="inlineStr">
        <is>
          <t>Eleven Labs</t>
        </is>
      </c>
      <c r="C8" s="15" t="inlineStr">
        <is>
          <t>Starter monthly</t>
        </is>
      </c>
      <c r="D8" s="25" t="n">
        <v>5</v>
      </c>
      <c r="E8" s="26" t="n">
        <v>15.29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2025-10-24</t>
        </is>
      </c>
      <c r="B5" s="11" t="inlineStr">
        <is>
          <t>Anthropic</t>
        </is>
      </c>
      <c r="C5" s="11" t="inlineStr">
        <is>
          <t>Claude Pro</t>
        </is>
      </c>
      <c r="D5" s="27" t="n">
        <v>20</v>
      </c>
      <c r="E5" s="28" t="n">
        <v>61.14</v>
      </c>
      <c r="F5" s="29" t="n"/>
    </row>
    <row r="6">
      <c r="A6" s="14" t="inlineStr">
        <is>
          <t>2025-10-30</t>
        </is>
      </c>
      <c r="B6" s="15" t="inlineStr">
        <is>
          <t>Eleven Labs</t>
        </is>
      </c>
      <c r="C6" s="15" t="inlineStr">
        <is>
          <t>Starter monthly</t>
        </is>
      </c>
      <c r="D6" s="25" t="n">
        <v>5</v>
      </c>
      <c r="E6" s="26" t="n">
        <v>15.29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</v>
      </c>
      <c r="E4" s="26" t="n">
        <v>36.68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11.8</v>
      </c>
      <c r="E5" s="28" t="n">
        <v>36.07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</v>
      </c>
      <c r="E7" s="28" t="n">
        <v>30.57</v>
      </c>
      <c r="F7" s="29" t="n"/>
    </row>
    <row r="8">
      <c r="A8" s="14" t="inlineStr">
        <is>
          <t>2025-11-24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20</v>
      </c>
      <c r="E8" s="26" t="n">
        <v>61.14</v>
      </c>
      <c r="F8" s="24" t="n"/>
    </row>
    <row r="9">
      <c r="A9" s="10" t="inlineStr">
        <is>
          <t>2025-11-30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</v>
      </c>
      <c r="E9" s="28" t="n">
        <v>15.29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</v>
      </c>
      <c r="E5" s="28" t="n">
        <v>45.85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9.720000000000001</v>
      </c>
      <c r="E6" s="26" t="n">
        <v>29.71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30</v>
      </c>
      <c r="E7" s="28" t="n">
        <v>91.70999999999999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33</v>
      </c>
      <c r="E8" s="26" t="n">
        <v>100.88</v>
      </c>
      <c r="F8" s="24" t="n"/>
    </row>
    <row r="9">
      <c r="A9" s="10" t="inlineStr">
        <is>
          <t>2025-12-29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36</v>
      </c>
      <c r="E9" s="28" t="n">
        <v>110.05</v>
      </c>
      <c r="F9" s="29" t="n"/>
    </row>
    <row r="10">
      <c r="A10" s="14" t="inlineStr">
        <is>
          <t>2025-12-30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</v>
      </c>
      <c r="E10" s="26" t="n">
        <v>15.29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139.92</v>
      </c>
      <c r="E5" s="28" t="n">
        <v>427.74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19.43</v>
      </c>
      <c r="E7" s="28" t="n">
        <v>59.4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</v>
      </c>
      <c r="E8" s="26" t="n">
        <v>61.14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</v>
      </c>
      <c r="E9" s="28" t="n">
        <v>61.14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</v>
      </c>
      <c r="E10" s="26" t="n">
        <v>49.9</v>
      </c>
      <c r="F10" s="24" t="n"/>
    </row>
    <row r="11">
      <c r="A11" s="10" t="inlineStr">
        <is>
          <t>2026-01-19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39</v>
      </c>
      <c r="E11" s="28" t="n">
        <v>119.22</v>
      </c>
      <c r="F11" s="29" t="n"/>
    </row>
    <row r="12">
      <c r="A12" s="14" t="inlineStr">
        <is>
          <t>2026-01-25</t>
        </is>
      </c>
      <c r="B12" s="15" t="inlineStr">
        <is>
          <t>Lovable</t>
        </is>
      </c>
      <c r="C12" s="15" t="inlineStr">
        <is>
          <t>Pro 1 monthly</t>
        </is>
      </c>
      <c r="D12" s="25" t="n">
        <v>25</v>
      </c>
      <c r="E12" s="26" t="n">
        <v>76.42</v>
      </c>
      <c r="F12" s="24" t="n"/>
    </row>
    <row r="13">
      <c r="A13" s="10" t="inlineStr">
        <is>
          <t>2026-01-27</t>
        </is>
      </c>
      <c r="B13" s="11" t="inlineStr">
        <is>
          <t>Meta (Ads)</t>
        </is>
      </c>
      <c r="C13" s="11" t="inlineStr">
        <is>
          <t>Facebook Ads</t>
        </is>
      </c>
      <c r="D13" s="27" t="n">
        <v>43</v>
      </c>
      <c r="E13" s="28" t="n">
        <v>131.45</v>
      </c>
      <c r="F13" s="29" t="n"/>
    </row>
    <row r="14">
      <c r="A14" s="14" t="inlineStr">
        <is>
          <t>2026-01-30</t>
        </is>
      </c>
      <c r="B14" s="15" t="inlineStr">
        <is>
          <t>Eleven Labs</t>
        </is>
      </c>
      <c r="C14" s="15" t="inlineStr">
        <is>
          <t>Starter monthly</t>
        </is>
      </c>
      <c r="D14" s="25" t="n">
        <v>5</v>
      </c>
      <c r="E14" s="26" t="n">
        <v>15.29</v>
      </c>
      <c r="F14" s="24" t="n"/>
    </row>
    <row r="15">
      <c r="A15" s="10" t="inlineStr">
        <is>
          <t>2026-01-30</t>
        </is>
      </c>
      <c r="B15" s="11" t="inlineStr">
        <is>
          <t>Timeless</t>
        </is>
      </c>
      <c r="C15" s="11" t="inlineStr">
        <is>
          <t>Pro monthly (50% off)</t>
        </is>
      </c>
      <c r="D15" s="27" t="n">
        <v>14.5</v>
      </c>
      <c r="E15" s="28" t="n">
        <v>44.33</v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</v>
      </c>
      <c r="E4" s="26" t="n">
        <v>76.42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31.42</v>
      </c>
      <c r="E6" s="26" t="n">
        <v>96.05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</v>
      </c>
      <c r="E8" s="26" t="n">
        <v>143.68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61.14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</v>
      </c>
      <c r="E10" s="26" t="n">
        <v>15.29</v>
      </c>
      <c r="F10" s="24" t="n"/>
    </row>
    <row r="11">
      <c r="A11" s="10" t="inlineStr">
        <is>
          <t>2026-02-24</t>
        </is>
      </c>
      <c r="B11" s="11" t="inlineStr">
        <is>
          <t>Higgsfield</t>
        </is>
      </c>
      <c r="C11" s="11" t="inlineStr">
        <is>
          <t>On-Demand credits 500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2026-02-25</t>
        </is>
      </c>
      <c r="B12" s="15" t="inlineStr">
        <is>
          <t>Lovable</t>
        </is>
      </c>
      <c r="C12" s="15" t="inlineStr">
        <is>
          <t>Pro2 monthly</t>
        </is>
      </c>
      <c r="D12" s="25" t="n">
        <v>50</v>
      </c>
      <c r="E12" s="26" t="n">
        <v>152.85</v>
      </c>
      <c r="F12" s="24" t="n"/>
    </row>
    <row r="13">
      <c r="A13" s="10" t="inlineStr">
        <is>
          <t>2026-02-25</t>
        </is>
      </c>
      <c r="B13" s="11" t="inlineStr">
        <is>
          <t>Meta (Ads)</t>
        </is>
      </c>
      <c r="C13" s="11" t="inlineStr">
        <is>
          <t>Facebook Ads</t>
        </is>
      </c>
      <c r="D13" s="27" t="n">
        <v>51</v>
      </c>
      <c r="E13" s="28" t="n">
        <v>155.91</v>
      </c>
      <c r="F13" s="29" t="n"/>
    </row>
    <row r="14">
      <c r="A14" s="14" t="inlineStr">
        <is>
          <t>2026-02-28</t>
        </is>
      </c>
      <c r="B14" s="15" t="inlineStr">
        <is>
          <t>Eleven Labs</t>
        </is>
      </c>
      <c r="C14" s="15" t="inlineStr">
        <is>
          <t>Starter monthly</t>
        </is>
      </c>
      <c r="D14" s="25" t="n">
        <v>5</v>
      </c>
      <c r="E14" s="26" t="n">
        <v>15.29</v>
      </c>
      <c r="F14" s="24" t="n"/>
    </row>
    <row r="15">
      <c r="A15" s="10" t="inlineStr">
        <is>
          <t>2026-02-28</t>
        </is>
      </c>
      <c r="B15" s="11" t="inlineStr">
        <is>
          <t>Lovable</t>
        </is>
      </c>
      <c r="C15" s="11" t="inlineStr">
        <is>
          <t>Cloud &amp; AI Balance Top-up</t>
        </is>
      </c>
      <c r="D15" s="27" t="n">
        <v>10</v>
      </c>
      <c r="E15" s="28" t="n">
        <v>30.57</v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Lovable</t>
        </is>
      </c>
      <c r="C4" s="15" t="inlineStr">
        <is>
          <t>Cloud &amp; AI Balance Top-up</t>
        </is>
      </c>
      <c r="D4" s="25" t="n">
        <v>10</v>
      </c>
      <c r="E4" s="26" t="n">
        <v>30.57</v>
      </c>
      <c r="F4" s="24" t="n"/>
    </row>
    <row r="5">
      <c r="A5" s="10" t="inlineStr">
        <is>
          <t>2026-03-01</t>
        </is>
      </c>
      <c r="B5" s="11" t="inlineStr">
        <is>
          <t>Timeless</t>
        </is>
      </c>
      <c r="C5" s="11" t="inlineStr">
        <is>
          <t>Pro monthly (50% off)</t>
        </is>
      </c>
      <c r="D5" s="27" t="n">
        <v>14.5</v>
      </c>
      <c r="E5" s="28" t="n">
        <v>44.33</v>
      </c>
      <c r="F5" s="29" t="n"/>
    </row>
    <row r="6">
      <c r="A6" s="14" t="inlineStr">
        <is>
          <t>2026-03-02</t>
        </is>
      </c>
      <c r="B6" s="15" t="inlineStr">
        <is>
          <t>Google Workspace</t>
        </is>
      </c>
      <c r="C6" s="15" t="inlineStr">
        <is>
          <t>Business Plus – Feb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2026-03-02</t>
        </is>
      </c>
      <c r="B7" s="11" t="inlineStr">
        <is>
          <t>Lovable</t>
        </is>
      </c>
      <c r="C7" s="11" t="inlineStr">
        <is>
          <t>Cloud &amp; AI Balance Top-up</t>
        </is>
      </c>
      <c r="D7" s="27" t="n">
        <v>10</v>
      </c>
      <c r="E7" s="28" t="n">
        <v>30.57</v>
      </c>
      <c r="F7" s="29" t="n"/>
    </row>
    <row r="8">
      <c r="A8" s="14" t="inlineStr">
        <is>
          <t>2026-03-03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40.11</v>
      </c>
      <c r="E8" s="26" t="n">
        <v>122.62</v>
      </c>
      <c r="F8" s="24" t="n"/>
    </row>
    <row r="9">
      <c r="A9" s="10" t="inlineStr">
        <is>
          <t>2026-03-10</t>
        </is>
      </c>
      <c r="B9" s="11" t="inlineStr">
        <is>
          <t>CapCut</t>
        </is>
      </c>
      <c r="C9" s="11" t="inlineStr">
        <is>
          <t>Pro – Mar 2026 (₪49.90)</t>
        </is>
      </c>
      <c r="D9" s="27" t="n">
        <v>13.67</v>
      </c>
      <c r="E9" s="28" t="n">
        <v>49.9</v>
      </c>
      <c r="F9" s="29" t="n"/>
    </row>
    <row r="10">
      <c r="A10" s="14" t="inlineStr">
        <is>
          <t>2026-03-12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51</v>
      </c>
      <c r="E10" s="26" t="n">
        <v>155.91</v>
      </c>
      <c r="F10" s="24" t="n"/>
    </row>
    <row r="11">
      <c r="A11" s="10" t="inlineStr">
        <is>
          <t>2026-03-15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2026-03-19</t>
        </is>
      </c>
      <c r="B12" s="15" t="inlineStr">
        <is>
          <t>Anthropic</t>
        </is>
      </c>
      <c r="C12" s="15" t="inlineStr">
        <is>
          <t>Credit purchase</t>
        </is>
      </c>
      <c r="D12" s="25" t="n">
        <v>10</v>
      </c>
      <c r="E12" s="26" t="n">
        <v>30.57</v>
      </c>
      <c r="F12" s="24" t="n"/>
    </row>
    <row r="13">
      <c r="A13" s="10" t="inlineStr">
        <is>
          <t>2026-03-19</t>
        </is>
      </c>
      <c r="B13" s="11" t="inlineStr">
        <is>
          <t>Eleven Labs</t>
        </is>
      </c>
      <c r="C13" s="11" t="inlineStr">
        <is>
          <t>Creator (first month 50% off)</t>
        </is>
      </c>
      <c r="D13" s="27" t="n">
        <v>11</v>
      </c>
      <c r="E13" s="28" t="n">
        <v>33.63</v>
      </c>
      <c r="F13" s="29" t="n"/>
    </row>
    <row r="14">
      <c r="A14" s="14" t="inlineStr">
        <is>
          <t>2026-03-24</t>
        </is>
      </c>
      <c r="B14" s="15" t="inlineStr">
        <is>
          <t>Dzine</t>
        </is>
      </c>
      <c r="C14" s="15" t="inlineStr">
        <is>
          <t>Video Top-Up</t>
        </is>
      </c>
      <c r="D14" s="25" t="n">
        <v>9</v>
      </c>
      <c r="E14" s="26" t="n">
        <v>27.51</v>
      </c>
      <c r="F14" s="24" t="n"/>
    </row>
    <row r="15">
      <c r="A15" s="10" t="inlineStr">
        <is>
          <t>2026-03-25</t>
        </is>
      </c>
      <c r="B15" s="11" t="inlineStr">
        <is>
          <t>Lovable</t>
        </is>
      </c>
      <c r="C15" s="11" t="inlineStr">
        <is>
          <t>Lite plan</t>
        </is>
      </c>
      <c r="D15" s="27" t="n">
        <v>5</v>
      </c>
      <c r="E15" s="28" t="n">
        <v>15.29</v>
      </c>
      <c r="F15" s="29" t="n"/>
    </row>
    <row r="16">
      <c r="A16" s="14" t="inlineStr">
        <is>
          <t>2026-03-26</t>
        </is>
      </c>
      <c r="B16" s="15" t="inlineStr">
        <is>
          <t>Dzine</t>
        </is>
      </c>
      <c r="C16" s="15" t="inlineStr">
        <is>
          <t>Video Top-Up</t>
        </is>
      </c>
      <c r="D16" s="25" t="n">
        <v>20</v>
      </c>
      <c r="E16" s="26" t="n">
        <v>61.14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</v>
      </c>
      <c r="E4" s="26" t="n">
        <v>61.14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</v>
      </c>
      <c r="E5" s="28" t="n">
        <v>15.29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51</v>
      </c>
      <c r="E7" s="28" t="n">
        <v>155.91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55.03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2.25</v>
      </c>
      <c r="E9" s="28" t="n">
        <v>6.88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16.323193</v>
      </c>
      <c r="E11" s="28" t="n">
        <v>49.9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5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3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4" t="inlineStr">
        <is>
          <t>יולי 2025
(July 2025)</t>
        </is>
      </c>
      <c r="D3" s="34" t="inlineStr">
        <is>
          <t>אוגוסט 2025
(August 2025)</t>
        </is>
      </c>
      <c r="F3" s="34" t="inlineStr">
        <is>
          <t>ספטמבר 2025
(September 2025)</t>
        </is>
      </c>
      <c r="H3" s="34" t="inlineStr">
        <is>
          <t>אוקטובר 2025
(October 2025)</t>
        </is>
      </c>
      <c r="J3" s="34" t="inlineStr">
        <is>
          <t>נובמבר 2025
(November 2025)</t>
        </is>
      </c>
      <c r="L3" s="34" t="inlineStr">
        <is>
          <t>דצמבר 2025
(December 2025)</t>
        </is>
      </c>
      <c r="N3" s="34" t="inlineStr">
        <is>
          <t>ינואר 2026
(January 2026)</t>
        </is>
      </c>
      <c r="P3" s="34" t="inlineStr">
        <is>
          <t>פברואר 2026
(February 2026)</t>
        </is>
      </c>
      <c r="R3" s="34" t="inlineStr">
        <is>
          <t>מרץ 2026
(March 2026)</t>
        </is>
      </c>
      <c r="T3" s="34" t="inlineStr">
        <is>
          <t>אפריל 2026
(April 2026)</t>
        </is>
      </c>
      <c r="V3" s="34" t="inlineStr">
        <is>
          <t>מאי 2026
(May 2026)</t>
        </is>
      </c>
      <c r="X3" s="34" t="inlineStr">
        <is>
          <t>יוני 2026
(June 2026)</t>
        </is>
      </c>
      <c r="Z3" s="34" t="inlineStr">
        <is>
          <t>יולי 2026
(July 2026)</t>
        </is>
      </c>
      <c r="AB3" s="34" t="inlineStr">
        <is>
          <t>אוגוסט 2026
(August 2026)</t>
        </is>
      </c>
      <c r="AD3" s="34" t="inlineStr">
        <is>
          <t>ספטמבר 2026
(September 2026)</t>
        </is>
      </c>
      <c r="AF3" s="34" t="inlineStr">
        <is>
          <t>אוקטובר 2026
(October 2026)</t>
        </is>
      </c>
      <c r="AH3" s="34" t="inlineStr">
        <is>
          <t>נובמבר 2026
(November 2026)</t>
        </is>
      </c>
      <c r="AJ3" s="34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5" t="inlineStr">
        <is>
          <t>$</t>
        </is>
      </c>
      <c r="C4" s="35" t="inlineStr">
        <is>
          <t>₪</t>
        </is>
      </c>
      <c r="D4" s="35" t="inlineStr">
        <is>
          <t>$</t>
        </is>
      </c>
      <c r="E4" s="35" t="inlineStr">
        <is>
          <t>₪</t>
        </is>
      </c>
      <c r="F4" s="35" t="inlineStr">
        <is>
          <t>$</t>
        </is>
      </c>
      <c r="G4" s="35" t="inlineStr">
        <is>
          <t>₪</t>
        </is>
      </c>
      <c r="H4" s="35" t="inlineStr">
        <is>
          <t>$</t>
        </is>
      </c>
      <c r="I4" s="35" t="inlineStr">
        <is>
          <t>₪</t>
        </is>
      </c>
      <c r="J4" s="35" t="inlineStr">
        <is>
          <t>$</t>
        </is>
      </c>
      <c r="K4" s="35" t="inlineStr">
        <is>
          <t>₪</t>
        </is>
      </c>
      <c r="L4" s="35" t="inlineStr">
        <is>
          <t>$</t>
        </is>
      </c>
      <c r="M4" s="35" t="inlineStr">
        <is>
          <t>₪</t>
        </is>
      </c>
      <c r="N4" s="35" t="inlineStr">
        <is>
          <t>$</t>
        </is>
      </c>
      <c r="O4" s="35" t="inlineStr">
        <is>
          <t>₪</t>
        </is>
      </c>
      <c r="P4" s="35" t="inlineStr">
        <is>
          <t>$</t>
        </is>
      </c>
      <c r="Q4" s="35" t="inlineStr">
        <is>
          <t>₪</t>
        </is>
      </c>
      <c r="R4" s="35" t="inlineStr">
        <is>
          <t>$</t>
        </is>
      </c>
      <c r="S4" s="35" t="inlineStr">
        <is>
          <t>₪</t>
        </is>
      </c>
      <c r="T4" s="35" t="inlineStr">
        <is>
          <t>$</t>
        </is>
      </c>
      <c r="U4" s="35" t="inlineStr">
        <is>
          <t>₪</t>
        </is>
      </c>
      <c r="V4" s="35" t="inlineStr">
        <is>
          <t>$</t>
        </is>
      </c>
      <c r="W4" s="35" t="inlineStr">
        <is>
          <t>₪</t>
        </is>
      </c>
      <c r="X4" s="35" t="inlineStr">
        <is>
          <t>$</t>
        </is>
      </c>
      <c r="Y4" s="35" t="inlineStr">
        <is>
          <t>₪</t>
        </is>
      </c>
      <c r="Z4" s="35" t="inlineStr">
        <is>
          <t>$</t>
        </is>
      </c>
      <c r="AA4" s="35" t="inlineStr">
        <is>
          <t>₪</t>
        </is>
      </c>
      <c r="AB4" s="35" t="inlineStr">
        <is>
          <t>$</t>
        </is>
      </c>
      <c r="AC4" s="35" t="inlineStr">
        <is>
          <t>₪</t>
        </is>
      </c>
      <c r="AD4" s="35" t="inlineStr">
        <is>
          <t>$</t>
        </is>
      </c>
      <c r="AE4" s="35" t="inlineStr">
        <is>
          <t>₪</t>
        </is>
      </c>
      <c r="AF4" s="35" t="inlineStr">
        <is>
          <t>$</t>
        </is>
      </c>
      <c r="AG4" s="35" t="inlineStr">
        <is>
          <t>₪</t>
        </is>
      </c>
      <c r="AH4" s="35" t="inlineStr">
        <is>
          <t>$</t>
        </is>
      </c>
      <c r="AI4" s="35" t="inlineStr">
        <is>
          <t>₪</t>
        </is>
      </c>
      <c r="AJ4" s="35" t="inlineStr">
        <is>
          <t>$</t>
        </is>
      </c>
      <c r="AK4" s="35" t="inlineStr">
        <is>
          <t>₪</t>
        </is>
      </c>
      <c r="AL4" s="36" t="inlineStr">
        <is>
          <t>$</t>
        </is>
      </c>
      <c r="AM4" s="36" t="inlineStr">
        <is>
          <t>₪</t>
        </is>
      </c>
    </row>
    <row r="5">
      <c r="A5" s="37" t="inlineStr">
        <is>
          <t>Anthropic</t>
        </is>
      </c>
      <c r="B5" s="38">
        <f>SUMIFS('כל ההוצאות'!$D:$D,'כל ההוצאות'!$B:$B,"Anthropic",'כל ההוצאות'!$F:$F,"יולי 2025")</f>
        <v/>
      </c>
      <c r="C5" s="39">
        <f>SUMIFS('כל ההוצאות'!$E:$E,'כל ההוצאות'!$B:$B,"Anthropic",'כל ההוצאות'!$F:$F,"יולי 2025")</f>
        <v/>
      </c>
      <c r="D5" s="38">
        <f>SUMIFS('כל ההוצאות'!$D:$D,'כל ההוצאות'!$B:$B,"Anthropic",'כל ההוצאות'!$F:$F,"אוגוסט 2025")</f>
        <v/>
      </c>
      <c r="E5" s="39">
        <f>SUMIFS('כל ההוצאות'!$E:$E,'כל ההוצאות'!$B:$B,"Anthropic",'כל ההוצאות'!$F:$F,"אוגוסט 2025")</f>
        <v/>
      </c>
      <c r="F5" s="38">
        <f>SUMIFS('כל ההוצאות'!$D:$D,'כל ההוצאות'!$B:$B,"Anthropic",'כל ההוצאות'!$F:$F,"ספטמבר 2025")</f>
        <v/>
      </c>
      <c r="G5" s="39">
        <f>SUMIFS('כל ההוצאות'!$E:$E,'כל ההוצאות'!$B:$B,"Anthropic",'כל ההוצאות'!$F:$F,"ספטמבר 2025")</f>
        <v/>
      </c>
      <c r="H5" s="38">
        <f>SUMIFS('כל ההוצאות'!$D:$D,'כל ההוצאות'!$B:$B,"Anthropic",'כל ההוצאות'!$F:$F,"אוקטובר 2025")</f>
        <v/>
      </c>
      <c r="I5" s="39">
        <f>SUMIFS('כל ההוצאות'!$E:$E,'כל ההוצאות'!$B:$B,"Anthropic",'כל ההוצאות'!$F:$F,"אוקטובר 2025")</f>
        <v/>
      </c>
      <c r="J5" s="38">
        <f>SUMIFS('כל ההוצאות'!$D:$D,'כל ההוצאות'!$B:$B,"Anthropic",'כל ההוצאות'!$F:$F,"נובמבר 2025")</f>
        <v/>
      </c>
      <c r="K5" s="39">
        <f>SUMIFS('כל ההוצאות'!$E:$E,'כל ההוצאות'!$B:$B,"Anthropic",'כל ההוצאות'!$F:$F,"נובמבר 2025")</f>
        <v/>
      </c>
      <c r="L5" s="38">
        <f>SUMIFS('כל ההוצאות'!$D:$D,'כל ההוצאות'!$B:$B,"Anthropic",'כל ההוצאות'!$F:$F,"דצמבר 2025")</f>
        <v/>
      </c>
      <c r="M5" s="39">
        <f>SUMIFS('כל ההוצאות'!$E:$E,'כל ההוצאות'!$B:$B,"Anthropic",'כל ההוצאות'!$F:$F,"דצמבר 2025")</f>
        <v/>
      </c>
      <c r="N5" s="38">
        <f>SUMIFS('כל ההוצאות'!$D:$D,'כל ההוצאות'!$B:$B,"Anthropic",'כל ההוצאות'!$F:$F,"ינואר 2026")</f>
        <v/>
      </c>
      <c r="O5" s="39">
        <f>SUMIFS('כל ההוצאות'!$E:$E,'כל ההוצאות'!$B:$B,"Anthropic",'כל ההוצאות'!$F:$F,"ינואר 2026")</f>
        <v/>
      </c>
      <c r="P5" s="38">
        <f>SUMIFS('כל ההוצאות'!$D:$D,'כל ההוצאות'!$B:$B,"Anthropic",'כל ההוצאות'!$F:$F,"פברואר 2026")</f>
        <v/>
      </c>
      <c r="Q5" s="39">
        <f>SUMIFS('כל ההוצאות'!$E:$E,'כל ההוצאות'!$B:$B,"Anthropic",'כל ההוצאות'!$F:$F,"פברואר 2026")</f>
        <v/>
      </c>
      <c r="R5" s="38">
        <f>SUMIFS('כל ההוצאות'!$D:$D,'כל ההוצאות'!$B:$B,"Anthropic",'כל ההוצאות'!$F:$F,"מרץ 2026")</f>
        <v/>
      </c>
      <c r="S5" s="39">
        <f>SUMIFS('כל ההוצאות'!$E:$E,'כל ההוצאות'!$B:$B,"Anthropic",'כל ההוצאות'!$F:$F,"מרץ 2026")</f>
        <v/>
      </c>
      <c r="T5" s="38">
        <f>SUMIFS('כל ההוצאות'!$D:$D,'כל ההוצאות'!$B:$B,"Anthropic",'כל ההוצאות'!$F:$F,"אפריל 2026")</f>
        <v/>
      </c>
      <c r="U5" s="39">
        <f>SUMIFS('כל ההוצאות'!$E:$E,'כל ההוצאות'!$B:$B,"Anthropic",'כל ההוצאות'!$F:$F,"אפריל 2026")</f>
        <v/>
      </c>
      <c r="V5" s="38">
        <f>SUMIFS('כל ההוצאות'!$D:$D,'כל ההוצאות'!$B:$B,"Anthropic",'כל ההוצאות'!$F:$F,"מאי 2026")</f>
        <v/>
      </c>
      <c r="W5" s="39">
        <f>SUMIFS('כל ההוצאות'!$E:$E,'כל ההוצאות'!$B:$B,"Anthropic",'כל ההוצאות'!$F:$F,"מאי 2026")</f>
        <v/>
      </c>
      <c r="X5" s="38">
        <f>SUMIFS('כל ההוצאות'!$D:$D,'כל ההוצאות'!$B:$B,"Anthropic",'כל ההוצאות'!$F:$F,"יוני 2026")</f>
        <v/>
      </c>
      <c r="Y5" s="39">
        <f>SUMIFS('כל ההוצאות'!$E:$E,'כל ההוצאות'!$B:$B,"Anthropic",'כל ההוצאות'!$F:$F,"יוני 2026")</f>
        <v/>
      </c>
      <c r="Z5" s="38">
        <f>SUMIFS('כל ההוצאות'!$D:$D,'כל ההוצאות'!$B:$B,"Anthropic",'כל ההוצאות'!$F:$F,"יולי 2026")</f>
        <v/>
      </c>
      <c r="AA5" s="39">
        <f>SUMIFS('כל ההוצאות'!$E:$E,'כל ההוצאות'!$B:$B,"Anthropic",'כל ההוצאות'!$F:$F,"יולי 2026")</f>
        <v/>
      </c>
      <c r="AB5" s="38">
        <f>SUMIFS('כל ההוצאות'!$D:$D,'כל ההוצאות'!$B:$B,"Anthropic",'כל ההוצאות'!$F:$F,"אוגוסט 2026")</f>
        <v/>
      </c>
      <c r="AC5" s="39">
        <f>SUMIFS('כל ההוצאות'!$E:$E,'כל ההוצאות'!$B:$B,"Anthropic",'כל ההוצאות'!$F:$F,"אוגוסט 2026")</f>
        <v/>
      </c>
      <c r="AD5" s="38">
        <f>SUMIFS('כל ההוצאות'!$D:$D,'כל ההוצאות'!$B:$B,"Anthropic",'כל ההוצאות'!$F:$F,"ספטמבר 2026")</f>
        <v/>
      </c>
      <c r="AE5" s="39">
        <f>SUMIFS('כל ההוצאות'!$E:$E,'כל ההוצאות'!$B:$B,"Anthropic",'כל ההוצאות'!$F:$F,"ספטמבר 2026")</f>
        <v/>
      </c>
      <c r="AF5" s="38">
        <f>SUMIFS('כל ההוצאות'!$D:$D,'כל ההוצאות'!$B:$B,"Anthropic",'כל ההוצאות'!$F:$F,"אוקטובר 2026")</f>
        <v/>
      </c>
      <c r="AG5" s="39">
        <f>SUMIFS('כל ההוצאות'!$E:$E,'כל ההוצאות'!$B:$B,"Anthropic",'כל ההוצאות'!$F:$F,"אוקטובר 2026")</f>
        <v/>
      </c>
      <c r="AH5" s="38">
        <f>SUMIFS('כל ההוצאות'!$D:$D,'כל ההוצאות'!$B:$B,"Anthropic",'כל ההוצאות'!$F:$F,"נובמבר 2026")</f>
        <v/>
      </c>
      <c r="AI5" s="39">
        <f>SUMIFS('כל ההוצאות'!$E:$E,'כל ההוצאות'!$B:$B,"Anthropic",'כל ההוצאות'!$F:$F,"נובמבר 2026")</f>
        <v/>
      </c>
      <c r="AJ5" s="38">
        <f>SUMIFS('כל ההוצאות'!$D:$D,'כל ההוצאות'!$B:$B,"Anthropic",'כל ההוצאות'!$F:$F,"דצמבר 2026")</f>
        <v/>
      </c>
      <c r="AK5" s="39">
        <f>SUMIFS('כל ההוצאות'!$E:$E,'כל ההוצאות'!$B:$B,"Anthropic",'כל ההוצאות'!$F:$F,"דצמבר 2026")</f>
        <v/>
      </c>
      <c r="AL5" s="40">
        <f>SUM(B5,D5,F5,H5,J5,L5,N5,P5,R5,T5,V5,X5,Z5,AB5,AD5,AF5,AH5,AJ5)</f>
        <v/>
      </c>
      <c r="AM5" s="41">
        <f>SUM(C5,E5,G5,I5,K5,M5,O5,Q5,S5,U5,W5,Y5,AA5,AC5,AE5,AG5,AI5,AK5)</f>
        <v/>
      </c>
    </row>
    <row r="6">
      <c r="A6" s="42" t="inlineStr">
        <is>
          <t>Astria</t>
        </is>
      </c>
      <c r="B6" s="43">
        <f>SUMIFS('כל ההוצאות'!$D:$D,'כל ההוצאות'!$B:$B,"Astria",'כל ההוצאות'!$F:$F,"יולי 2025")</f>
        <v/>
      </c>
      <c r="C6" s="44">
        <f>SUMIFS('כל ההוצאות'!$E:$E,'כל ההוצאות'!$B:$B,"Astria",'כל ההוצאות'!$F:$F,"יולי 2025")</f>
        <v/>
      </c>
      <c r="D6" s="43">
        <f>SUMIFS('כל ההוצאות'!$D:$D,'כל ההוצאות'!$B:$B,"Astria",'כל ההוצאות'!$F:$F,"אוגוסט 2025")</f>
        <v/>
      </c>
      <c r="E6" s="44">
        <f>SUMIFS('כל ההוצאות'!$E:$E,'כל ההוצאות'!$B:$B,"Astria",'כל ההוצאות'!$F:$F,"אוגוסט 2025")</f>
        <v/>
      </c>
      <c r="F6" s="43">
        <f>SUMIFS('כל ההוצאות'!$D:$D,'כל ההוצאות'!$B:$B,"Astria",'כל ההוצאות'!$F:$F,"ספטמבר 2025")</f>
        <v/>
      </c>
      <c r="G6" s="44">
        <f>SUMIFS('כל ההוצאות'!$E:$E,'כל ההוצאות'!$B:$B,"Astria",'כל ההוצאות'!$F:$F,"ספטמבר 2025")</f>
        <v/>
      </c>
      <c r="H6" s="43">
        <f>SUMIFS('כל ההוצאות'!$D:$D,'כל ההוצאות'!$B:$B,"Astria",'כל ההוצאות'!$F:$F,"אוקטובר 2025")</f>
        <v/>
      </c>
      <c r="I6" s="44">
        <f>SUMIFS('כל ההוצאות'!$E:$E,'כל ההוצאות'!$B:$B,"Astria",'כל ההוצאות'!$F:$F,"אוקטובר 2025")</f>
        <v/>
      </c>
      <c r="J6" s="43">
        <f>SUMIFS('כל ההוצאות'!$D:$D,'כל ההוצאות'!$B:$B,"Astria",'כל ההוצאות'!$F:$F,"נובמבר 2025")</f>
        <v/>
      </c>
      <c r="K6" s="44">
        <f>SUMIFS('כל ההוצאות'!$E:$E,'כל ההוצאות'!$B:$B,"Astria",'כל ההוצאות'!$F:$F,"נובמבר 2025")</f>
        <v/>
      </c>
      <c r="L6" s="43">
        <f>SUMIFS('כל ההוצאות'!$D:$D,'כל ההוצאות'!$B:$B,"Astria",'כל ההוצאות'!$F:$F,"דצמבר 2025")</f>
        <v/>
      </c>
      <c r="M6" s="44">
        <f>SUMIFS('כל ההוצאות'!$E:$E,'כל ההוצאות'!$B:$B,"Astria",'כל ההוצאות'!$F:$F,"דצמבר 2025")</f>
        <v/>
      </c>
      <c r="N6" s="43">
        <f>SUMIFS('כל ההוצאות'!$D:$D,'כל ההוצאות'!$B:$B,"Astria",'כל ההוצאות'!$F:$F,"ינואר 2026")</f>
        <v/>
      </c>
      <c r="O6" s="44">
        <f>SUMIFS('כל ההוצאות'!$E:$E,'כל ההוצאות'!$B:$B,"Astria",'כל ההוצאות'!$F:$F,"ינואר 2026")</f>
        <v/>
      </c>
      <c r="P6" s="43">
        <f>SUMIFS('כל ההוצאות'!$D:$D,'כל ההוצאות'!$B:$B,"Astria",'כל ההוצאות'!$F:$F,"פברואר 2026")</f>
        <v/>
      </c>
      <c r="Q6" s="44">
        <f>SUMIFS('כל ההוצאות'!$E:$E,'כל ההוצאות'!$B:$B,"Astria",'כל ההוצאות'!$F:$F,"פברואר 2026")</f>
        <v/>
      </c>
      <c r="R6" s="43">
        <f>SUMIFS('כל ההוצאות'!$D:$D,'כל ההוצאות'!$B:$B,"Astria",'כל ההוצאות'!$F:$F,"מרץ 2026")</f>
        <v/>
      </c>
      <c r="S6" s="44">
        <f>SUMIFS('כל ההוצאות'!$E:$E,'כל ההוצאות'!$B:$B,"Astria",'כל ההוצאות'!$F:$F,"מרץ 2026")</f>
        <v/>
      </c>
      <c r="T6" s="43">
        <f>SUMIFS('כל ההוצאות'!$D:$D,'כל ההוצאות'!$B:$B,"Astria",'כל ההוצאות'!$F:$F,"אפריל 2026")</f>
        <v/>
      </c>
      <c r="U6" s="44">
        <f>SUMIFS('כל ההוצאות'!$E:$E,'כל ההוצאות'!$B:$B,"Astria",'כל ההוצאות'!$F:$F,"אפריל 2026")</f>
        <v/>
      </c>
      <c r="V6" s="43">
        <f>SUMIFS('כל ההוצאות'!$D:$D,'כל ההוצאות'!$B:$B,"Astria",'כל ההוצאות'!$F:$F,"מאי 2026")</f>
        <v/>
      </c>
      <c r="W6" s="44">
        <f>SUMIFS('כל ההוצאות'!$E:$E,'כל ההוצאות'!$B:$B,"Astria",'כל ההוצאות'!$F:$F,"מאי 2026")</f>
        <v/>
      </c>
      <c r="X6" s="43">
        <f>SUMIFS('כל ההוצאות'!$D:$D,'כל ההוצאות'!$B:$B,"Astria",'כל ההוצאות'!$F:$F,"יוני 2026")</f>
        <v/>
      </c>
      <c r="Y6" s="44">
        <f>SUMIFS('כל ההוצאות'!$E:$E,'כל ההוצאות'!$B:$B,"Astria",'כל ההוצאות'!$F:$F,"יוני 2026")</f>
        <v/>
      </c>
      <c r="Z6" s="43">
        <f>SUMIFS('כל ההוצאות'!$D:$D,'כל ההוצאות'!$B:$B,"Astria",'כל ההוצאות'!$F:$F,"יולי 2026")</f>
        <v/>
      </c>
      <c r="AA6" s="44">
        <f>SUMIFS('כל ההוצאות'!$E:$E,'כל ההוצאות'!$B:$B,"Astria",'כל ההוצאות'!$F:$F,"יולי 2026")</f>
        <v/>
      </c>
      <c r="AB6" s="43">
        <f>SUMIFS('כל ההוצאות'!$D:$D,'כל ההוצאות'!$B:$B,"Astria",'כל ההוצאות'!$F:$F,"אוגוסט 2026")</f>
        <v/>
      </c>
      <c r="AC6" s="44">
        <f>SUMIFS('כל ההוצאות'!$E:$E,'כל ההוצאות'!$B:$B,"Astria",'כל ההוצאות'!$F:$F,"אוגוסט 2026")</f>
        <v/>
      </c>
      <c r="AD6" s="43">
        <f>SUMIFS('כל ההוצאות'!$D:$D,'כל ההוצאות'!$B:$B,"Astria",'כל ההוצאות'!$F:$F,"ספטמבר 2026")</f>
        <v/>
      </c>
      <c r="AE6" s="44">
        <f>SUMIFS('כל ההוצאות'!$E:$E,'כל ההוצאות'!$B:$B,"Astria",'כל ההוצאות'!$F:$F,"ספטמבר 2026")</f>
        <v/>
      </c>
      <c r="AF6" s="43">
        <f>SUMIFS('כל ההוצאות'!$D:$D,'כל ההוצאות'!$B:$B,"Astria",'כל ההוצאות'!$F:$F,"אוקטובר 2026")</f>
        <v/>
      </c>
      <c r="AG6" s="44">
        <f>SUMIFS('כל ההוצאות'!$E:$E,'כל ההוצאות'!$B:$B,"Astria",'כל ההוצאות'!$F:$F,"אוקטובר 2026")</f>
        <v/>
      </c>
      <c r="AH6" s="43">
        <f>SUMIFS('כל ההוצאות'!$D:$D,'כל ההוצאות'!$B:$B,"Astria",'כל ההוצאות'!$F:$F,"נובמבר 2026")</f>
        <v/>
      </c>
      <c r="AI6" s="44">
        <f>SUMIFS('כל ההוצאות'!$E:$E,'כל ההוצאות'!$B:$B,"Astria",'כל ההוצאות'!$F:$F,"נובמבר 2026")</f>
        <v/>
      </c>
      <c r="AJ6" s="43">
        <f>SUMIFS('כל ההוצאות'!$D:$D,'כל ההוצאות'!$B:$B,"Astria",'כל ההוצאות'!$F:$F,"דצמבר 2026")</f>
        <v/>
      </c>
      <c r="AK6" s="44">
        <f>SUMIFS('כל ההוצאות'!$E:$E,'כל ההוצאות'!$B:$B,"Astria",'כל ההוצאות'!$F:$F,"דצמבר 2026")</f>
        <v/>
      </c>
      <c r="AL6" s="40">
        <f>SUM(B6,D6,F6,H6,J6,L6,N6,P6,R6,T6,V6,X6,Z6,AB6,AD6,AF6,AH6,AJ6)</f>
        <v/>
      </c>
      <c r="AM6" s="41">
        <f>SUM(C6,E6,G6,I6,K6,M6,O6,Q6,S6,U6,W6,Y6,AA6,AC6,AE6,AG6,AI6,AK6)</f>
        <v/>
      </c>
    </row>
    <row r="7">
      <c r="A7" s="37" t="inlineStr">
        <is>
          <t>CapCut</t>
        </is>
      </c>
      <c r="B7" s="38">
        <f>SUMIFS('כל ההוצאות'!$D:$D,'כל ההוצאות'!$B:$B,"CapCut",'כל ההוצאות'!$F:$F,"יולי 2025")</f>
        <v/>
      </c>
      <c r="C7" s="39">
        <f>SUMIFS('כל ההוצאות'!$E:$E,'כל ההוצאות'!$B:$B,"CapCut",'כל ההוצאות'!$F:$F,"יולי 2025")</f>
        <v/>
      </c>
      <c r="D7" s="38">
        <f>SUMIFS('כל ההוצאות'!$D:$D,'כל ההוצאות'!$B:$B,"CapCut",'כל ההוצאות'!$F:$F,"אוגוסט 2025")</f>
        <v/>
      </c>
      <c r="E7" s="39">
        <f>SUMIFS('כל ההוצאות'!$E:$E,'כל ההוצאות'!$B:$B,"CapCut",'כל ההוצאות'!$F:$F,"אוגוסט 2025")</f>
        <v/>
      </c>
      <c r="F7" s="38">
        <f>SUMIFS('כל ההוצאות'!$D:$D,'כל ההוצאות'!$B:$B,"CapCut",'כל ההוצאות'!$F:$F,"ספטמבר 2025")</f>
        <v/>
      </c>
      <c r="G7" s="39">
        <f>SUMIFS('כל ההוצאות'!$E:$E,'כל ההוצאות'!$B:$B,"CapCut",'כל ההוצאות'!$F:$F,"ספטמבר 2025")</f>
        <v/>
      </c>
      <c r="H7" s="38">
        <f>SUMIFS('כל ההוצאות'!$D:$D,'כל ההוצאות'!$B:$B,"CapCut",'כל ההוצאות'!$F:$F,"אוקטובר 2025")</f>
        <v/>
      </c>
      <c r="I7" s="39">
        <f>SUMIFS('כל ההוצאות'!$E:$E,'כל ההוצאות'!$B:$B,"CapCut",'כל ההוצאות'!$F:$F,"אוקטובר 2025")</f>
        <v/>
      </c>
      <c r="J7" s="38">
        <f>SUMIFS('כל ההוצאות'!$D:$D,'כל ההוצאות'!$B:$B,"CapCut",'כל ההוצאות'!$F:$F,"נובמבר 2025")</f>
        <v/>
      </c>
      <c r="K7" s="39">
        <f>SUMIFS('כל ההוצאות'!$E:$E,'כל ההוצאות'!$B:$B,"CapCut",'כל ההוצאות'!$F:$F,"נובמבר 2025")</f>
        <v/>
      </c>
      <c r="L7" s="38">
        <f>SUMIFS('כל ההוצאות'!$D:$D,'כל ההוצאות'!$B:$B,"CapCut",'כל ההוצאות'!$F:$F,"דצמבר 2025")</f>
        <v/>
      </c>
      <c r="M7" s="39">
        <f>SUMIFS('כל ההוצאות'!$E:$E,'כל ההוצאות'!$B:$B,"CapCut",'כל ההוצאות'!$F:$F,"דצמבר 2025")</f>
        <v/>
      </c>
      <c r="N7" s="38">
        <f>SUMIFS('כל ההוצאות'!$D:$D,'כל ההוצאות'!$B:$B,"CapCut",'כל ההוצאות'!$F:$F,"ינואר 2026")</f>
        <v/>
      </c>
      <c r="O7" s="39">
        <f>SUMIFS('כל ההוצאות'!$E:$E,'כל ההוצאות'!$B:$B,"CapCut",'כל ההוצאות'!$F:$F,"ינואר 2026")</f>
        <v/>
      </c>
      <c r="P7" s="38">
        <f>SUMIFS('כל ההוצאות'!$D:$D,'כל ההוצאות'!$B:$B,"CapCut",'כל ההוצאות'!$F:$F,"פברואר 2026")</f>
        <v/>
      </c>
      <c r="Q7" s="39">
        <f>SUMIFS('כל ההוצאות'!$E:$E,'כל ההוצאות'!$B:$B,"CapCut",'כל ההוצאות'!$F:$F,"פברואר 2026")</f>
        <v/>
      </c>
      <c r="R7" s="38">
        <f>SUMIFS('כל ההוצאות'!$D:$D,'כל ההוצאות'!$B:$B,"CapCut",'כל ההוצאות'!$F:$F,"מרץ 2026")</f>
        <v/>
      </c>
      <c r="S7" s="39">
        <f>SUMIFS('כל ההוצאות'!$E:$E,'כל ההוצאות'!$B:$B,"CapCut",'כל ההוצאות'!$F:$F,"מרץ 2026")</f>
        <v/>
      </c>
      <c r="T7" s="38">
        <f>SUMIFS('כל ההוצאות'!$D:$D,'כל ההוצאות'!$B:$B,"CapCut",'כל ההוצאות'!$F:$F,"אפריל 2026")</f>
        <v/>
      </c>
      <c r="U7" s="39">
        <f>SUMIFS('כל ההוצאות'!$E:$E,'כל ההוצאות'!$B:$B,"CapCut",'כל ההוצאות'!$F:$F,"אפריל 2026")</f>
        <v/>
      </c>
      <c r="V7" s="38">
        <f>SUMIFS('כל ההוצאות'!$D:$D,'כל ההוצאות'!$B:$B,"CapCut",'כל ההוצאות'!$F:$F,"מאי 2026")</f>
        <v/>
      </c>
      <c r="W7" s="39">
        <f>SUMIFS('כל ההוצאות'!$E:$E,'כל ההוצאות'!$B:$B,"CapCut",'כל ההוצאות'!$F:$F,"מאי 2026")</f>
        <v/>
      </c>
      <c r="X7" s="38">
        <f>SUMIFS('כל ההוצאות'!$D:$D,'כל ההוצאות'!$B:$B,"CapCut",'כל ההוצאות'!$F:$F,"יוני 2026")</f>
        <v/>
      </c>
      <c r="Y7" s="39">
        <f>SUMIFS('כל ההוצאות'!$E:$E,'כל ההוצאות'!$B:$B,"CapCut",'כל ההוצאות'!$F:$F,"יוני 2026")</f>
        <v/>
      </c>
      <c r="Z7" s="38">
        <f>SUMIFS('כל ההוצאות'!$D:$D,'כל ההוצאות'!$B:$B,"CapCut",'כל ההוצאות'!$F:$F,"יולי 2026")</f>
        <v/>
      </c>
      <c r="AA7" s="39">
        <f>SUMIFS('כל ההוצאות'!$E:$E,'כל ההוצאות'!$B:$B,"CapCut",'כל ההוצאות'!$F:$F,"יולי 2026")</f>
        <v/>
      </c>
      <c r="AB7" s="38">
        <f>SUMIFS('כל ההוצאות'!$D:$D,'כל ההוצאות'!$B:$B,"CapCut",'כל ההוצאות'!$F:$F,"אוגוסט 2026")</f>
        <v/>
      </c>
      <c r="AC7" s="39">
        <f>SUMIFS('כל ההוצאות'!$E:$E,'כל ההוצאות'!$B:$B,"CapCut",'כל ההוצאות'!$F:$F,"אוגוסט 2026")</f>
        <v/>
      </c>
      <c r="AD7" s="38">
        <f>SUMIFS('כל ההוצאות'!$D:$D,'כל ההוצאות'!$B:$B,"CapCut",'כל ההוצאות'!$F:$F,"ספטמבר 2026")</f>
        <v/>
      </c>
      <c r="AE7" s="39">
        <f>SUMIFS('כל ההוצאות'!$E:$E,'כל ההוצאות'!$B:$B,"CapCut",'כל ההוצאות'!$F:$F,"ספטמבר 2026")</f>
        <v/>
      </c>
      <c r="AF7" s="38">
        <f>SUMIFS('כל ההוצאות'!$D:$D,'כל ההוצאות'!$B:$B,"CapCut",'כל ההוצאות'!$F:$F,"אוקטובר 2026")</f>
        <v/>
      </c>
      <c r="AG7" s="39">
        <f>SUMIFS('כל ההוצאות'!$E:$E,'כל ההוצאות'!$B:$B,"CapCut",'כל ההוצאות'!$F:$F,"אוקטובר 2026")</f>
        <v/>
      </c>
      <c r="AH7" s="38">
        <f>SUMIFS('כל ההוצאות'!$D:$D,'כל ההוצאות'!$B:$B,"CapCut",'כל ההוצאות'!$F:$F,"נובמבר 2026")</f>
        <v/>
      </c>
      <c r="AI7" s="39">
        <f>SUMIFS('כל ההוצאות'!$E:$E,'כל ההוצאות'!$B:$B,"CapCut",'כל ההוצאות'!$F:$F,"נובמבר 2026")</f>
        <v/>
      </c>
      <c r="AJ7" s="38">
        <f>SUMIFS('כל ההוצאות'!$D:$D,'כל ההוצאות'!$B:$B,"CapCut",'כל ההוצאות'!$F:$F,"דצמבר 2026")</f>
        <v/>
      </c>
      <c r="AK7" s="39">
        <f>SUMIFS('כל ההוצאות'!$E:$E,'כל ההוצאות'!$B:$B,"CapCut",'כל ההוצאות'!$F:$F,"דצמבר 2026")</f>
        <v/>
      </c>
      <c r="AL7" s="40">
        <f>SUM(B7,D7,F7,H7,J7,L7,N7,P7,R7,T7,V7,X7,Z7,AB7,AD7,AF7,AH7,AJ7)</f>
        <v/>
      </c>
      <c r="AM7" s="41">
        <f>SUM(C7,E7,G7,I7,K7,M7,O7,Q7,S7,U7,W7,Y7,AA7,AC7,AE7,AG7,AI7,AK7)</f>
        <v/>
      </c>
    </row>
    <row r="8">
      <c r="A8" s="42" t="inlineStr">
        <is>
          <t>Dzine</t>
        </is>
      </c>
      <c r="B8" s="43">
        <f>SUMIFS('כל ההוצאות'!$D:$D,'כל ההוצאות'!$B:$B,"Dzine",'כל ההוצאות'!$F:$F,"יולי 2025")</f>
        <v/>
      </c>
      <c r="C8" s="44">
        <f>SUMIFS('כל ההוצאות'!$E:$E,'כל ההוצאות'!$B:$B,"Dzine",'כל ההוצאות'!$F:$F,"יולי 2025")</f>
        <v/>
      </c>
      <c r="D8" s="43">
        <f>SUMIFS('כל ההוצאות'!$D:$D,'כל ההוצאות'!$B:$B,"Dzine",'כל ההוצאות'!$F:$F,"אוגוסט 2025")</f>
        <v/>
      </c>
      <c r="E8" s="44">
        <f>SUMIFS('כל ההוצאות'!$E:$E,'כל ההוצאות'!$B:$B,"Dzine",'כל ההוצאות'!$F:$F,"אוגוסט 2025")</f>
        <v/>
      </c>
      <c r="F8" s="43">
        <f>SUMIFS('כל ההוצאות'!$D:$D,'כל ההוצאות'!$B:$B,"Dzine",'כל ההוצאות'!$F:$F,"ספטמבר 2025")</f>
        <v/>
      </c>
      <c r="G8" s="44">
        <f>SUMIFS('כל ההוצאות'!$E:$E,'כל ההוצאות'!$B:$B,"Dzine",'כל ההוצאות'!$F:$F,"ספטמבר 2025")</f>
        <v/>
      </c>
      <c r="H8" s="43">
        <f>SUMIFS('כל ההוצאות'!$D:$D,'כל ההוצאות'!$B:$B,"Dzine",'כל ההוצאות'!$F:$F,"אוקטובר 2025")</f>
        <v/>
      </c>
      <c r="I8" s="44">
        <f>SUMIFS('כל ההוצאות'!$E:$E,'כל ההוצאות'!$B:$B,"Dzine",'כל ההוצאות'!$F:$F,"אוקטובר 2025")</f>
        <v/>
      </c>
      <c r="J8" s="43">
        <f>SUMIFS('כל ההוצאות'!$D:$D,'כל ההוצאות'!$B:$B,"Dzine",'כל ההוצאות'!$F:$F,"נובמבר 2025")</f>
        <v/>
      </c>
      <c r="K8" s="44">
        <f>SUMIFS('כל ההוצאות'!$E:$E,'כל ההוצאות'!$B:$B,"Dzine",'כל ההוצאות'!$F:$F,"נובמבר 2025")</f>
        <v/>
      </c>
      <c r="L8" s="43">
        <f>SUMIFS('כל ההוצאות'!$D:$D,'כל ההוצאות'!$B:$B,"Dzine",'כל ההוצאות'!$F:$F,"דצמבר 2025")</f>
        <v/>
      </c>
      <c r="M8" s="44">
        <f>SUMIFS('כל ההוצאות'!$E:$E,'כל ההוצאות'!$B:$B,"Dzine",'כל ההוצאות'!$F:$F,"דצמבר 2025")</f>
        <v/>
      </c>
      <c r="N8" s="43">
        <f>SUMIFS('כל ההוצאות'!$D:$D,'כל ההוצאות'!$B:$B,"Dzine",'כל ההוצאות'!$F:$F,"ינואר 2026")</f>
        <v/>
      </c>
      <c r="O8" s="44">
        <f>SUMIFS('כל ההוצאות'!$E:$E,'כל ההוצאות'!$B:$B,"Dzine",'כל ההוצאות'!$F:$F,"ינואר 2026")</f>
        <v/>
      </c>
      <c r="P8" s="43">
        <f>SUMIFS('כל ההוצאות'!$D:$D,'כל ההוצאות'!$B:$B,"Dzine",'כל ההוצאות'!$F:$F,"פברואר 2026")</f>
        <v/>
      </c>
      <c r="Q8" s="44">
        <f>SUMIFS('כל ההוצאות'!$E:$E,'כל ההוצאות'!$B:$B,"Dzine",'כל ההוצאות'!$F:$F,"פברואר 2026")</f>
        <v/>
      </c>
      <c r="R8" s="43">
        <f>SUMIFS('כל ההוצאות'!$D:$D,'כל ההוצאות'!$B:$B,"Dzine",'כל ההוצאות'!$F:$F,"מרץ 2026")</f>
        <v/>
      </c>
      <c r="S8" s="44">
        <f>SUMIFS('כל ההוצאות'!$E:$E,'כל ההוצאות'!$B:$B,"Dzine",'כל ההוצאות'!$F:$F,"מרץ 2026")</f>
        <v/>
      </c>
      <c r="T8" s="43">
        <f>SUMIFS('כל ההוצאות'!$D:$D,'כל ההוצאות'!$B:$B,"Dzine",'כל ההוצאות'!$F:$F,"אפריל 2026")</f>
        <v/>
      </c>
      <c r="U8" s="44">
        <f>SUMIFS('כל ההוצאות'!$E:$E,'כל ההוצאות'!$B:$B,"Dzine",'כל ההוצאות'!$F:$F,"אפריל 2026")</f>
        <v/>
      </c>
      <c r="V8" s="43">
        <f>SUMIFS('כל ההוצאות'!$D:$D,'כל ההוצאות'!$B:$B,"Dzine",'כל ההוצאות'!$F:$F,"מאי 2026")</f>
        <v/>
      </c>
      <c r="W8" s="44">
        <f>SUMIFS('כל ההוצאות'!$E:$E,'כל ההוצאות'!$B:$B,"Dzine",'כל ההוצאות'!$F:$F,"מאי 2026")</f>
        <v/>
      </c>
      <c r="X8" s="43">
        <f>SUMIFS('כל ההוצאות'!$D:$D,'כל ההוצאות'!$B:$B,"Dzine",'כל ההוצאות'!$F:$F,"יוני 2026")</f>
        <v/>
      </c>
      <c r="Y8" s="44">
        <f>SUMIFS('כל ההוצאות'!$E:$E,'כל ההוצאות'!$B:$B,"Dzine",'כל ההוצאות'!$F:$F,"יוני 2026")</f>
        <v/>
      </c>
      <c r="Z8" s="43">
        <f>SUMIFS('כל ההוצאות'!$D:$D,'כל ההוצאות'!$B:$B,"Dzine",'כל ההוצאות'!$F:$F,"יולי 2026")</f>
        <v/>
      </c>
      <c r="AA8" s="44">
        <f>SUMIFS('כל ההוצאות'!$E:$E,'כל ההוצאות'!$B:$B,"Dzine",'כל ההוצאות'!$F:$F,"יולי 2026")</f>
        <v/>
      </c>
      <c r="AB8" s="43">
        <f>SUMIFS('כל ההוצאות'!$D:$D,'כל ההוצאות'!$B:$B,"Dzine",'כל ההוצאות'!$F:$F,"אוגוסט 2026")</f>
        <v/>
      </c>
      <c r="AC8" s="44">
        <f>SUMIFS('כל ההוצאות'!$E:$E,'כל ההוצאות'!$B:$B,"Dzine",'כל ההוצאות'!$F:$F,"אוגוסט 2026")</f>
        <v/>
      </c>
      <c r="AD8" s="43">
        <f>SUMIFS('כל ההוצאות'!$D:$D,'כל ההוצאות'!$B:$B,"Dzine",'כל ההוצאות'!$F:$F,"ספטמבר 2026")</f>
        <v/>
      </c>
      <c r="AE8" s="44">
        <f>SUMIFS('כל ההוצאות'!$E:$E,'כל ההוצאות'!$B:$B,"Dzine",'כל ההוצאות'!$F:$F,"ספטמבר 2026")</f>
        <v/>
      </c>
      <c r="AF8" s="43">
        <f>SUMIFS('כל ההוצאות'!$D:$D,'כל ההוצאות'!$B:$B,"Dzine",'כל ההוצאות'!$F:$F,"אוקטובר 2026")</f>
        <v/>
      </c>
      <c r="AG8" s="44">
        <f>SUMIFS('כל ההוצאות'!$E:$E,'כל ההוצאות'!$B:$B,"Dzine",'כל ההוצאות'!$F:$F,"אוקטובר 2026")</f>
        <v/>
      </c>
      <c r="AH8" s="43">
        <f>SUMIFS('כל ההוצאות'!$D:$D,'כל ההוצאות'!$B:$B,"Dzine",'כל ההוצאות'!$F:$F,"נובמבר 2026")</f>
        <v/>
      </c>
      <c r="AI8" s="44">
        <f>SUMIFS('כל ההוצאות'!$E:$E,'כל ההוצאות'!$B:$B,"Dzine",'כל ההוצאות'!$F:$F,"נובמבר 2026")</f>
        <v/>
      </c>
      <c r="AJ8" s="43">
        <f>SUMIFS('כל ההוצאות'!$D:$D,'כל ההוצאות'!$B:$B,"Dzine",'כל ההוצאות'!$F:$F,"דצמבר 2026")</f>
        <v/>
      </c>
      <c r="AK8" s="44">
        <f>SUMIFS('כל ההוצאות'!$E:$E,'כל ההוצאות'!$B:$B,"Dzine",'כל ההוצאות'!$F:$F,"דצמבר 2026")</f>
        <v/>
      </c>
      <c r="AL8" s="40">
        <f>SUM(B8,D8,F8,H8,J8,L8,N8,P8,R8,T8,V8,X8,Z8,AB8,AD8,AF8,AH8,AJ8)</f>
        <v/>
      </c>
      <c r="AM8" s="41">
        <f>SUM(C8,E8,G8,I8,K8,M8,O8,Q8,S8,U8,W8,Y8,AA8,AC8,AE8,AG8,AI8,AK8)</f>
        <v/>
      </c>
    </row>
    <row r="9">
      <c r="A9" s="37" t="inlineStr">
        <is>
          <t>Eleven Labs</t>
        </is>
      </c>
      <c r="B9" s="38">
        <f>SUMIFS('כל ההוצאות'!$D:$D,'כל ההוצאות'!$B:$B,"Eleven Labs",'כל ההוצאות'!$F:$F,"יולי 2025")</f>
        <v/>
      </c>
      <c r="C9" s="39">
        <f>SUMIFS('כל ההוצאות'!$E:$E,'כל ההוצאות'!$B:$B,"Eleven Labs",'כל ההוצאות'!$F:$F,"יולי 2025")</f>
        <v/>
      </c>
      <c r="D9" s="38">
        <f>SUMIFS('כל ההוצאות'!$D:$D,'כל ההוצאות'!$B:$B,"Eleven Labs",'כל ההוצאות'!$F:$F,"אוגוסט 2025")</f>
        <v/>
      </c>
      <c r="E9" s="39">
        <f>SUMIFS('כל ההוצאות'!$E:$E,'כל ההוצאות'!$B:$B,"Eleven Labs",'כל ההוצאות'!$F:$F,"אוגוסט 2025")</f>
        <v/>
      </c>
      <c r="F9" s="38">
        <f>SUMIFS('כל ההוצאות'!$D:$D,'כל ההוצאות'!$B:$B,"Eleven Labs",'כל ההוצאות'!$F:$F,"ספטמבר 2025")</f>
        <v/>
      </c>
      <c r="G9" s="39">
        <f>SUMIFS('כל ההוצאות'!$E:$E,'כל ההוצאות'!$B:$B,"Eleven Labs",'כל ההוצאות'!$F:$F,"ספטמבר 2025")</f>
        <v/>
      </c>
      <c r="H9" s="38">
        <f>SUMIFS('כל ההוצאות'!$D:$D,'כל ההוצאות'!$B:$B,"Eleven Labs",'כל ההוצאות'!$F:$F,"אוקטובר 2025")</f>
        <v/>
      </c>
      <c r="I9" s="39">
        <f>SUMIFS('כל ההוצאות'!$E:$E,'כל ההוצאות'!$B:$B,"Eleven Labs",'כל ההוצאות'!$F:$F,"אוקטובר 2025")</f>
        <v/>
      </c>
      <c r="J9" s="38">
        <f>SUMIFS('כל ההוצאות'!$D:$D,'כל ההוצאות'!$B:$B,"Eleven Labs",'כל ההוצאות'!$F:$F,"נובמבר 2025")</f>
        <v/>
      </c>
      <c r="K9" s="39">
        <f>SUMIFS('כל ההוצאות'!$E:$E,'כל ההוצאות'!$B:$B,"Eleven Labs",'כל ההוצאות'!$F:$F,"נובמבר 2025")</f>
        <v/>
      </c>
      <c r="L9" s="38">
        <f>SUMIFS('כל ההוצאות'!$D:$D,'כל ההוצאות'!$B:$B,"Eleven Labs",'כל ההוצאות'!$F:$F,"דצמבר 2025")</f>
        <v/>
      </c>
      <c r="M9" s="39">
        <f>SUMIFS('כל ההוצאות'!$E:$E,'כל ההוצאות'!$B:$B,"Eleven Labs",'כל ההוצאות'!$F:$F,"דצמבר 2025")</f>
        <v/>
      </c>
      <c r="N9" s="38">
        <f>SUMIFS('כל ההוצאות'!$D:$D,'כל ההוצאות'!$B:$B,"Eleven Labs",'כל ההוצאות'!$F:$F,"ינואר 2026")</f>
        <v/>
      </c>
      <c r="O9" s="39">
        <f>SUMIFS('כל ההוצאות'!$E:$E,'כל ההוצאות'!$B:$B,"Eleven Labs",'כל ההוצאות'!$F:$F,"ינואר 2026")</f>
        <v/>
      </c>
      <c r="P9" s="38">
        <f>SUMIFS('כל ההוצאות'!$D:$D,'כל ההוצאות'!$B:$B,"Eleven Labs",'כל ההוצאות'!$F:$F,"פברואר 2026")</f>
        <v/>
      </c>
      <c r="Q9" s="39">
        <f>SUMIFS('כל ההוצאות'!$E:$E,'כל ההוצאות'!$B:$B,"Eleven Labs",'כל ההוצאות'!$F:$F,"פברואר 2026")</f>
        <v/>
      </c>
      <c r="R9" s="38">
        <f>SUMIFS('כל ההוצאות'!$D:$D,'כל ההוצאות'!$B:$B,"Eleven Labs",'כל ההוצאות'!$F:$F,"מרץ 2026")</f>
        <v/>
      </c>
      <c r="S9" s="39">
        <f>SUMIFS('כל ההוצאות'!$E:$E,'כל ההוצאות'!$B:$B,"Eleven Labs",'כל ההוצאות'!$F:$F,"מרץ 2026")</f>
        <v/>
      </c>
      <c r="T9" s="38">
        <f>SUMIFS('כל ההוצאות'!$D:$D,'כל ההוצאות'!$B:$B,"Eleven Labs",'כל ההוצאות'!$F:$F,"אפריל 2026")</f>
        <v/>
      </c>
      <c r="U9" s="39">
        <f>SUMIFS('כל ההוצאות'!$E:$E,'כל ההוצאות'!$B:$B,"Eleven Labs",'כל ההוצאות'!$F:$F,"אפריל 2026")</f>
        <v/>
      </c>
      <c r="V9" s="38">
        <f>SUMIFS('כל ההוצאות'!$D:$D,'כל ההוצאות'!$B:$B,"Eleven Labs",'כל ההוצאות'!$F:$F,"מאי 2026")</f>
        <v/>
      </c>
      <c r="W9" s="39">
        <f>SUMIFS('כל ההוצאות'!$E:$E,'כל ההוצאות'!$B:$B,"Eleven Labs",'כל ההוצאות'!$F:$F,"מאי 2026")</f>
        <v/>
      </c>
      <c r="X9" s="38">
        <f>SUMIFS('כל ההוצאות'!$D:$D,'כל ההוצאות'!$B:$B,"Eleven Labs",'כל ההוצאות'!$F:$F,"יוני 2026")</f>
        <v/>
      </c>
      <c r="Y9" s="39">
        <f>SUMIFS('כל ההוצאות'!$E:$E,'כל ההוצאות'!$B:$B,"Eleven Labs",'כל ההוצאות'!$F:$F,"יוני 2026")</f>
        <v/>
      </c>
      <c r="Z9" s="38">
        <f>SUMIFS('כל ההוצאות'!$D:$D,'כל ההוצאות'!$B:$B,"Eleven Labs",'כל ההוצאות'!$F:$F,"יולי 2026")</f>
        <v/>
      </c>
      <c r="AA9" s="39">
        <f>SUMIFS('כל ההוצאות'!$E:$E,'כל ההוצאות'!$B:$B,"Eleven Labs",'כל ההוצאות'!$F:$F,"יולי 2026")</f>
        <v/>
      </c>
      <c r="AB9" s="38">
        <f>SUMIFS('כל ההוצאות'!$D:$D,'כל ההוצאות'!$B:$B,"Eleven Labs",'כל ההוצאות'!$F:$F,"אוגוסט 2026")</f>
        <v/>
      </c>
      <c r="AC9" s="39">
        <f>SUMIFS('כל ההוצאות'!$E:$E,'כל ההוצאות'!$B:$B,"Eleven Labs",'כל ההוצאות'!$F:$F,"אוגוסט 2026")</f>
        <v/>
      </c>
      <c r="AD9" s="38">
        <f>SUMIFS('כל ההוצאות'!$D:$D,'כל ההוצאות'!$B:$B,"Eleven Labs",'כל ההוצאות'!$F:$F,"ספטמבר 2026")</f>
        <v/>
      </c>
      <c r="AE9" s="39">
        <f>SUMIFS('כל ההוצאות'!$E:$E,'כל ההוצאות'!$B:$B,"Eleven Labs",'כל ההוצאות'!$F:$F,"ספטמבר 2026")</f>
        <v/>
      </c>
      <c r="AF9" s="38">
        <f>SUMIFS('כל ההוצאות'!$D:$D,'כל ההוצאות'!$B:$B,"Eleven Labs",'כל ההוצאות'!$F:$F,"אוקטובר 2026")</f>
        <v/>
      </c>
      <c r="AG9" s="39">
        <f>SUMIFS('כל ההוצאות'!$E:$E,'כל ההוצאות'!$B:$B,"Eleven Labs",'כל ההוצאות'!$F:$F,"אוקטובר 2026")</f>
        <v/>
      </c>
      <c r="AH9" s="38">
        <f>SUMIFS('כל ההוצאות'!$D:$D,'כל ההוצאות'!$B:$B,"Eleven Labs",'כל ההוצאות'!$F:$F,"נובמבר 2026")</f>
        <v/>
      </c>
      <c r="AI9" s="39">
        <f>SUMIFS('כל ההוצאות'!$E:$E,'כל ההוצאות'!$B:$B,"Eleven Labs",'כל ההוצאות'!$F:$F,"נובמבר 2026")</f>
        <v/>
      </c>
      <c r="AJ9" s="38">
        <f>SUMIFS('כל ההוצאות'!$D:$D,'כל ההוצאות'!$B:$B,"Eleven Labs",'כל ההוצאות'!$F:$F,"דצמבר 2026")</f>
        <v/>
      </c>
      <c r="AK9" s="39">
        <f>SUMIFS('כל ההוצאות'!$E:$E,'כל ההוצאות'!$B:$B,"Eleven Labs",'כל ההוצאות'!$F:$F,"דצמבר 2026")</f>
        <v/>
      </c>
      <c r="AL9" s="40">
        <f>SUM(B9,D9,F9,H9,J9,L9,N9,P9,R9,T9,V9,X9,Z9,AB9,AD9,AF9,AH9,AJ9)</f>
        <v/>
      </c>
      <c r="AM9" s="41">
        <f>SUM(C9,E9,G9,I9,K9,M9,O9,Q9,S9,U9,W9,Y9,AA9,AC9,AE9,AG9,AI9,AK9)</f>
        <v/>
      </c>
    </row>
    <row r="10">
      <c r="A10" s="42" t="inlineStr">
        <is>
          <t>Genspark</t>
        </is>
      </c>
      <c r="B10" s="43">
        <f>SUMIFS('כל ההוצאות'!$D:$D,'כל ההוצאות'!$B:$B,"Genspark",'כל ההוצאות'!$F:$F,"יולי 2025")</f>
        <v/>
      </c>
      <c r="C10" s="44">
        <f>SUMIFS('כל ההוצאות'!$E:$E,'כל ההוצאות'!$B:$B,"Genspark",'כל ההוצאות'!$F:$F,"יולי 2025")</f>
        <v/>
      </c>
      <c r="D10" s="43">
        <f>SUMIFS('כל ההוצאות'!$D:$D,'כל ההוצאות'!$B:$B,"Genspark",'כל ההוצאות'!$F:$F,"אוגוסט 2025")</f>
        <v/>
      </c>
      <c r="E10" s="44">
        <f>SUMIFS('כל ההוצאות'!$E:$E,'כל ההוצאות'!$B:$B,"Genspark",'כל ההוצאות'!$F:$F,"אוגוסט 2025")</f>
        <v/>
      </c>
      <c r="F10" s="43">
        <f>SUMIFS('כל ההוצאות'!$D:$D,'כל ההוצאות'!$B:$B,"Genspark",'כל ההוצאות'!$F:$F,"ספטמבר 2025")</f>
        <v/>
      </c>
      <c r="G10" s="44">
        <f>SUMIFS('כל ההוצאות'!$E:$E,'כל ההוצאות'!$B:$B,"Genspark",'כל ההוצאות'!$F:$F,"ספטמבר 2025")</f>
        <v/>
      </c>
      <c r="H10" s="43">
        <f>SUMIFS('כל ההוצאות'!$D:$D,'כל ההוצאות'!$B:$B,"Genspark",'כל ההוצאות'!$F:$F,"אוקטובר 2025")</f>
        <v/>
      </c>
      <c r="I10" s="44">
        <f>SUMIFS('כל ההוצאות'!$E:$E,'כל ההוצאות'!$B:$B,"Genspark",'כל ההוצאות'!$F:$F,"אוקטובר 2025")</f>
        <v/>
      </c>
      <c r="J10" s="43">
        <f>SUMIFS('כל ההוצאות'!$D:$D,'כל ההוצאות'!$B:$B,"Genspark",'כל ההוצאות'!$F:$F,"נובמבר 2025")</f>
        <v/>
      </c>
      <c r="K10" s="44">
        <f>SUMIFS('כל ההוצאות'!$E:$E,'כל ההוצאות'!$B:$B,"Genspark",'כל ההוצאות'!$F:$F,"נובמבר 2025")</f>
        <v/>
      </c>
      <c r="L10" s="43">
        <f>SUMIFS('כל ההוצאות'!$D:$D,'כל ההוצאות'!$B:$B,"Genspark",'כל ההוצאות'!$F:$F,"דצמבר 2025")</f>
        <v/>
      </c>
      <c r="M10" s="44">
        <f>SUMIFS('כל ההוצאות'!$E:$E,'כל ההוצאות'!$B:$B,"Genspark",'כל ההוצאות'!$F:$F,"דצמבר 2025")</f>
        <v/>
      </c>
      <c r="N10" s="43">
        <f>SUMIFS('כל ההוצאות'!$D:$D,'כל ההוצאות'!$B:$B,"Genspark",'כל ההוצאות'!$F:$F,"ינואר 2026")</f>
        <v/>
      </c>
      <c r="O10" s="44">
        <f>SUMIFS('כל ההוצאות'!$E:$E,'כל ההוצאות'!$B:$B,"Genspark",'כל ההוצאות'!$F:$F,"ינואר 2026")</f>
        <v/>
      </c>
      <c r="P10" s="43">
        <f>SUMIFS('כל ההוצאות'!$D:$D,'כל ההוצאות'!$B:$B,"Genspark",'כל ההוצאות'!$F:$F,"פברואר 2026")</f>
        <v/>
      </c>
      <c r="Q10" s="44">
        <f>SUMIFS('כל ההוצאות'!$E:$E,'כל ההוצאות'!$B:$B,"Genspark",'כל ההוצאות'!$F:$F,"פברואר 2026")</f>
        <v/>
      </c>
      <c r="R10" s="43">
        <f>SUMIFS('כל ההוצאות'!$D:$D,'כל ההוצאות'!$B:$B,"Genspark",'כל ההוצאות'!$F:$F,"מרץ 2026")</f>
        <v/>
      </c>
      <c r="S10" s="44">
        <f>SUMIFS('כל ההוצאות'!$E:$E,'כל ההוצאות'!$B:$B,"Genspark",'כל ההוצאות'!$F:$F,"מרץ 2026")</f>
        <v/>
      </c>
      <c r="T10" s="43">
        <f>SUMIFS('כל ההוצאות'!$D:$D,'כל ההוצאות'!$B:$B,"Genspark",'כל ההוצאות'!$F:$F,"אפריל 2026")</f>
        <v/>
      </c>
      <c r="U10" s="44">
        <f>SUMIFS('כל ההוצאות'!$E:$E,'כל ההוצאות'!$B:$B,"Genspark",'כל ההוצאות'!$F:$F,"אפריל 2026")</f>
        <v/>
      </c>
      <c r="V10" s="43">
        <f>SUMIFS('כל ההוצאות'!$D:$D,'כל ההוצאות'!$B:$B,"Genspark",'כל ההוצאות'!$F:$F,"מאי 2026")</f>
        <v/>
      </c>
      <c r="W10" s="44">
        <f>SUMIFS('כל ההוצאות'!$E:$E,'כל ההוצאות'!$B:$B,"Genspark",'כל ההוצאות'!$F:$F,"מאי 2026")</f>
        <v/>
      </c>
      <c r="X10" s="43">
        <f>SUMIFS('כל ההוצאות'!$D:$D,'כל ההוצאות'!$B:$B,"Genspark",'כל ההוצאות'!$F:$F,"יוני 2026")</f>
        <v/>
      </c>
      <c r="Y10" s="44">
        <f>SUMIFS('כל ההוצאות'!$E:$E,'כל ההוצאות'!$B:$B,"Genspark",'כל ההוצאות'!$F:$F,"יוני 2026")</f>
        <v/>
      </c>
      <c r="Z10" s="43">
        <f>SUMIFS('כל ההוצאות'!$D:$D,'כל ההוצאות'!$B:$B,"Genspark",'כל ההוצאות'!$F:$F,"יולי 2026")</f>
        <v/>
      </c>
      <c r="AA10" s="44">
        <f>SUMIFS('כל ההוצאות'!$E:$E,'כל ההוצאות'!$B:$B,"Genspark",'כל ההוצאות'!$F:$F,"יולי 2026")</f>
        <v/>
      </c>
      <c r="AB10" s="43">
        <f>SUMIFS('כל ההוצאות'!$D:$D,'כל ההוצאות'!$B:$B,"Genspark",'כל ההוצאות'!$F:$F,"אוגוסט 2026")</f>
        <v/>
      </c>
      <c r="AC10" s="44">
        <f>SUMIFS('כל ההוצאות'!$E:$E,'כל ההוצאות'!$B:$B,"Genspark",'כל ההוצאות'!$F:$F,"אוגוסט 2026")</f>
        <v/>
      </c>
      <c r="AD10" s="43">
        <f>SUMIFS('כל ההוצאות'!$D:$D,'כל ההוצאות'!$B:$B,"Genspark",'כל ההוצאות'!$F:$F,"ספטמבר 2026")</f>
        <v/>
      </c>
      <c r="AE10" s="44">
        <f>SUMIFS('כל ההוצאות'!$E:$E,'כל ההוצאות'!$B:$B,"Genspark",'כל ההוצאות'!$F:$F,"ספטמבר 2026")</f>
        <v/>
      </c>
      <c r="AF10" s="43">
        <f>SUMIFS('כל ההוצאות'!$D:$D,'כל ההוצאות'!$B:$B,"Genspark",'כל ההוצאות'!$F:$F,"אוקטובר 2026")</f>
        <v/>
      </c>
      <c r="AG10" s="44">
        <f>SUMIFS('כל ההוצאות'!$E:$E,'כל ההוצאות'!$B:$B,"Genspark",'כל ההוצאות'!$F:$F,"אוקטובר 2026")</f>
        <v/>
      </c>
      <c r="AH10" s="43">
        <f>SUMIFS('כל ההוצאות'!$D:$D,'כל ההוצאות'!$B:$B,"Genspark",'כל ההוצאות'!$F:$F,"נובמבר 2026")</f>
        <v/>
      </c>
      <c r="AI10" s="44">
        <f>SUMIFS('כל ההוצאות'!$E:$E,'כל ההוצאות'!$B:$B,"Genspark",'כל ההוצאות'!$F:$F,"נובמבר 2026")</f>
        <v/>
      </c>
      <c r="AJ10" s="43">
        <f>SUMIFS('כל ההוצאות'!$D:$D,'כל ההוצאות'!$B:$B,"Genspark",'כל ההוצאות'!$F:$F,"דצמבר 2026")</f>
        <v/>
      </c>
      <c r="AK10" s="44">
        <f>SUMIFS('כל ההוצאות'!$E:$E,'כל ההוצאות'!$B:$B,"Genspark",'כל ההוצאות'!$F:$F,"דצמבר 2026")</f>
        <v/>
      </c>
      <c r="AL10" s="40">
        <f>SUM(B10,D10,F10,H10,J10,L10,N10,P10,R10,T10,V10,X10,Z10,AB10,AD10,AF10,AH10,AJ10)</f>
        <v/>
      </c>
      <c r="AM10" s="41">
        <f>SUM(C10,E10,G10,I10,K10,M10,O10,Q10,S10,U10,W10,Y10,AA10,AC10,AE10,AG10,AI10,AK10)</f>
        <v/>
      </c>
    </row>
    <row r="11">
      <c r="A11" s="37" t="inlineStr">
        <is>
          <t>Google Workspace</t>
        </is>
      </c>
      <c r="B11" s="38">
        <f>SUMIFS('כל ההוצאות'!$D:$D,'כל ההוצאות'!$B:$B,"Google Workspace",'כל ההוצאות'!$F:$F,"יולי 2025")</f>
        <v/>
      </c>
      <c r="C11" s="39">
        <f>SUMIFS('כל ההוצאות'!$E:$E,'כל ההוצאות'!$B:$B,"Google Workspace",'כל ההוצאות'!$F:$F,"יולי 2025")</f>
        <v/>
      </c>
      <c r="D11" s="38">
        <f>SUMIFS('כל ההוצאות'!$D:$D,'כל ההוצאות'!$B:$B,"Google Workspace",'כל ההוצאות'!$F:$F,"אוגוסט 2025")</f>
        <v/>
      </c>
      <c r="E11" s="39">
        <f>SUMIFS('כל ההוצאות'!$E:$E,'כל ההוצאות'!$B:$B,"Google Workspace",'כל ההוצאות'!$F:$F,"אוגוסט 2025")</f>
        <v/>
      </c>
      <c r="F11" s="38">
        <f>SUMIFS('כל ההוצאות'!$D:$D,'כל ההוצאות'!$B:$B,"Google Workspace",'כל ההוצאות'!$F:$F,"ספטמבר 2025")</f>
        <v/>
      </c>
      <c r="G11" s="39">
        <f>SUMIFS('כל ההוצאות'!$E:$E,'כל ההוצאות'!$B:$B,"Google Workspace",'כל ההוצאות'!$F:$F,"ספטמבר 2025")</f>
        <v/>
      </c>
      <c r="H11" s="38">
        <f>SUMIFS('כל ההוצאות'!$D:$D,'כל ההוצאות'!$B:$B,"Google Workspace",'כל ההוצאות'!$F:$F,"אוקטובר 2025")</f>
        <v/>
      </c>
      <c r="I11" s="39">
        <f>SUMIFS('כל ההוצאות'!$E:$E,'כל ההוצאות'!$B:$B,"Google Workspace",'כל ההוצאות'!$F:$F,"אוקטובר 2025")</f>
        <v/>
      </c>
      <c r="J11" s="38">
        <f>SUMIFS('כל ההוצאות'!$D:$D,'כל ההוצאות'!$B:$B,"Google Workspace",'כל ההוצאות'!$F:$F,"נובמבר 2025")</f>
        <v/>
      </c>
      <c r="K11" s="39">
        <f>SUMIFS('כל ההוצאות'!$E:$E,'כל ההוצאות'!$B:$B,"Google Workspace",'כל ההוצאות'!$F:$F,"נובמבר 2025")</f>
        <v/>
      </c>
      <c r="L11" s="38">
        <f>SUMIFS('כל ההוצאות'!$D:$D,'כל ההוצאות'!$B:$B,"Google Workspace",'כל ההוצאות'!$F:$F,"דצמבר 2025")</f>
        <v/>
      </c>
      <c r="M11" s="39">
        <f>SUMIFS('כל ההוצאות'!$E:$E,'כל ההוצאות'!$B:$B,"Google Workspace",'כל ההוצאות'!$F:$F,"דצמבר 2025")</f>
        <v/>
      </c>
      <c r="N11" s="38">
        <f>SUMIFS('כל ההוצאות'!$D:$D,'כל ההוצאות'!$B:$B,"Google Workspace",'כל ההוצאות'!$F:$F,"ינואר 2026")</f>
        <v/>
      </c>
      <c r="O11" s="39">
        <f>SUMIFS('כל ההוצאות'!$E:$E,'כל ההוצאות'!$B:$B,"Google Workspace",'כל ההוצאות'!$F:$F,"ינואר 2026")</f>
        <v/>
      </c>
      <c r="P11" s="38">
        <f>SUMIFS('כל ההוצאות'!$D:$D,'כל ההוצאות'!$B:$B,"Google Workspace",'כל ההוצאות'!$F:$F,"פברואר 2026")</f>
        <v/>
      </c>
      <c r="Q11" s="39">
        <f>SUMIFS('כל ההוצאות'!$E:$E,'כל ההוצאות'!$B:$B,"Google Workspace",'כל ההוצאות'!$F:$F,"פברואר 2026")</f>
        <v/>
      </c>
      <c r="R11" s="38">
        <f>SUMIFS('כל ההוצאות'!$D:$D,'כל ההוצאות'!$B:$B,"Google Workspace",'כל ההוצאות'!$F:$F,"מרץ 2026")</f>
        <v/>
      </c>
      <c r="S11" s="39">
        <f>SUMIFS('כל ההוצאות'!$E:$E,'כל ההוצאות'!$B:$B,"Google Workspace",'כל ההוצאות'!$F:$F,"מרץ 2026")</f>
        <v/>
      </c>
      <c r="T11" s="38">
        <f>SUMIFS('כל ההוצאות'!$D:$D,'כל ההוצאות'!$B:$B,"Google Workspace",'כל ההוצאות'!$F:$F,"אפריל 2026")</f>
        <v/>
      </c>
      <c r="U11" s="39">
        <f>SUMIFS('כל ההוצאות'!$E:$E,'כל ההוצאות'!$B:$B,"Google Workspace",'כל ההוצאות'!$F:$F,"אפריל 2026")</f>
        <v/>
      </c>
      <c r="V11" s="38">
        <f>SUMIFS('כל ההוצאות'!$D:$D,'כל ההוצאות'!$B:$B,"Google Workspace",'כל ההוצאות'!$F:$F,"מאי 2026")</f>
        <v/>
      </c>
      <c r="W11" s="39">
        <f>SUMIFS('כל ההוצאות'!$E:$E,'כל ההוצאות'!$B:$B,"Google Workspace",'כל ההוצאות'!$F:$F,"מאי 2026")</f>
        <v/>
      </c>
      <c r="X11" s="38">
        <f>SUMIFS('כל ההוצאות'!$D:$D,'כל ההוצאות'!$B:$B,"Google Workspace",'כל ההוצאות'!$F:$F,"יוני 2026")</f>
        <v/>
      </c>
      <c r="Y11" s="39">
        <f>SUMIFS('כל ההוצאות'!$E:$E,'כל ההוצאות'!$B:$B,"Google Workspace",'כל ההוצאות'!$F:$F,"יוני 2026")</f>
        <v/>
      </c>
      <c r="Z11" s="38">
        <f>SUMIFS('כל ההוצאות'!$D:$D,'כל ההוצאות'!$B:$B,"Google Workspace",'כל ההוצאות'!$F:$F,"יולי 2026")</f>
        <v/>
      </c>
      <c r="AA11" s="39">
        <f>SUMIFS('כל ההוצאות'!$E:$E,'כל ההוצאות'!$B:$B,"Google Workspace",'כל ההוצאות'!$F:$F,"יולי 2026")</f>
        <v/>
      </c>
      <c r="AB11" s="38">
        <f>SUMIFS('כל ההוצאות'!$D:$D,'כל ההוצאות'!$B:$B,"Google Workspace",'כל ההוצאות'!$F:$F,"אוגוסט 2026")</f>
        <v/>
      </c>
      <c r="AC11" s="39">
        <f>SUMIFS('כל ההוצאות'!$E:$E,'כל ההוצאות'!$B:$B,"Google Workspace",'כל ההוצאות'!$F:$F,"אוגוסט 2026")</f>
        <v/>
      </c>
      <c r="AD11" s="38">
        <f>SUMIFS('כל ההוצאות'!$D:$D,'כל ההוצאות'!$B:$B,"Google Workspace",'כל ההוצאות'!$F:$F,"ספטמבר 2026")</f>
        <v/>
      </c>
      <c r="AE11" s="39">
        <f>SUMIFS('כל ההוצאות'!$E:$E,'כל ההוצאות'!$B:$B,"Google Workspace",'כל ההוצאות'!$F:$F,"ספטמבר 2026")</f>
        <v/>
      </c>
      <c r="AF11" s="38">
        <f>SUMIFS('כל ההוצאות'!$D:$D,'כל ההוצאות'!$B:$B,"Google Workspace",'כל ההוצאות'!$F:$F,"אוקטובר 2026")</f>
        <v/>
      </c>
      <c r="AG11" s="39">
        <f>SUMIFS('כל ההוצאות'!$E:$E,'כל ההוצאות'!$B:$B,"Google Workspace",'כל ההוצאות'!$F:$F,"אוקטובר 2026")</f>
        <v/>
      </c>
      <c r="AH11" s="38">
        <f>SUMIFS('כל ההוצאות'!$D:$D,'כל ההוצאות'!$B:$B,"Google Workspace",'כל ההוצאות'!$F:$F,"נובמבר 2026")</f>
        <v/>
      </c>
      <c r="AI11" s="39">
        <f>SUMIFS('כל ההוצאות'!$E:$E,'כל ההוצאות'!$B:$B,"Google Workspace",'כל ההוצאות'!$F:$F,"נובמבר 2026")</f>
        <v/>
      </c>
      <c r="AJ11" s="38">
        <f>SUMIFS('כל ההוצאות'!$D:$D,'כל ההוצאות'!$B:$B,"Google Workspace",'כל ההוצאות'!$F:$F,"דצמבר 2026")</f>
        <v/>
      </c>
      <c r="AK11" s="39">
        <f>SUMIFS('כל ההוצאות'!$E:$E,'כל ההוצאות'!$B:$B,"Google Workspace",'כל ההוצאות'!$F:$F,"דצמבר 2026")</f>
        <v/>
      </c>
      <c r="AL11" s="40">
        <f>SUM(B11,D11,F11,H11,J11,L11,N11,P11,R11,T11,V11,X11,Z11,AB11,AD11,AF11,AH11,AJ11)</f>
        <v/>
      </c>
      <c r="AM11" s="41">
        <f>SUM(C11,E11,G11,I11,K11,M11,O11,Q11,S11,U11,W11,Y11,AA11,AC11,AE11,AG11,AI11,AK11)</f>
        <v/>
      </c>
    </row>
    <row r="12">
      <c r="A12" s="42" t="inlineStr">
        <is>
          <t>Hedra</t>
        </is>
      </c>
      <c r="B12" s="43">
        <f>SUMIFS('כל ההוצאות'!$D:$D,'כל ההוצאות'!$B:$B,"Hedra",'כל ההוצאות'!$F:$F,"יולי 2025")</f>
        <v/>
      </c>
      <c r="C12" s="44">
        <f>SUMIFS('כל ההוצאות'!$E:$E,'כל ההוצאות'!$B:$B,"Hedra",'כל ההוצאות'!$F:$F,"יולי 2025")</f>
        <v/>
      </c>
      <c r="D12" s="43">
        <f>SUMIFS('כל ההוצאות'!$D:$D,'כל ההוצאות'!$B:$B,"Hedra",'כל ההוצאות'!$F:$F,"אוגוסט 2025")</f>
        <v/>
      </c>
      <c r="E12" s="44">
        <f>SUMIFS('כל ההוצאות'!$E:$E,'כל ההוצאות'!$B:$B,"Hedra",'כל ההוצאות'!$F:$F,"אוגוסט 2025")</f>
        <v/>
      </c>
      <c r="F12" s="43">
        <f>SUMIFS('כל ההוצאות'!$D:$D,'כל ההוצאות'!$B:$B,"Hedra",'כל ההוצאות'!$F:$F,"ספטמבר 2025")</f>
        <v/>
      </c>
      <c r="G12" s="44">
        <f>SUMIFS('כל ההוצאות'!$E:$E,'כל ההוצאות'!$B:$B,"Hedra",'כל ההוצאות'!$F:$F,"ספטמבר 2025")</f>
        <v/>
      </c>
      <c r="H12" s="43">
        <f>SUMIFS('כל ההוצאות'!$D:$D,'כל ההוצאות'!$B:$B,"Hedra",'כל ההוצאות'!$F:$F,"אוקטובר 2025")</f>
        <v/>
      </c>
      <c r="I12" s="44">
        <f>SUMIFS('כל ההוצאות'!$E:$E,'כל ההוצאות'!$B:$B,"Hedra",'כל ההוצאות'!$F:$F,"אוקטובר 2025")</f>
        <v/>
      </c>
      <c r="J12" s="43">
        <f>SUMIFS('כל ההוצאות'!$D:$D,'כל ההוצאות'!$B:$B,"Hedra",'כל ההוצאות'!$F:$F,"נובמבר 2025")</f>
        <v/>
      </c>
      <c r="K12" s="44">
        <f>SUMIFS('כל ההוצאות'!$E:$E,'כל ההוצאות'!$B:$B,"Hedra",'כל ההוצאות'!$F:$F,"נובמבר 2025")</f>
        <v/>
      </c>
      <c r="L12" s="43">
        <f>SUMIFS('כל ההוצאות'!$D:$D,'כל ההוצאות'!$B:$B,"Hedra",'כל ההוצאות'!$F:$F,"דצמבר 2025")</f>
        <v/>
      </c>
      <c r="M12" s="44">
        <f>SUMIFS('כל ההוצאות'!$E:$E,'כל ההוצאות'!$B:$B,"Hedra",'כל ההוצאות'!$F:$F,"דצמבר 2025")</f>
        <v/>
      </c>
      <c r="N12" s="43">
        <f>SUMIFS('כל ההוצאות'!$D:$D,'כל ההוצאות'!$B:$B,"Hedra",'כל ההוצאות'!$F:$F,"ינואר 2026")</f>
        <v/>
      </c>
      <c r="O12" s="44">
        <f>SUMIFS('כל ההוצאות'!$E:$E,'כל ההוצאות'!$B:$B,"Hedra",'כל ההוצאות'!$F:$F,"ינואר 2026")</f>
        <v/>
      </c>
      <c r="P12" s="43">
        <f>SUMIFS('כל ההוצאות'!$D:$D,'כל ההוצאות'!$B:$B,"Hedra",'כל ההוצאות'!$F:$F,"פברואר 2026")</f>
        <v/>
      </c>
      <c r="Q12" s="44">
        <f>SUMIFS('כל ההוצאות'!$E:$E,'כל ההוצאות'!$B:$B,"Hedra",'כל ההוצאות'!$F:$F,"פברואר 2026")</f>
        <v/>
      </c>
      <c r="R12" s="43">
        <f>SUMIFS('כל ההוצאות'!$D:$D,'כל ההוצאות'!$B:$B,"Hedra",'כל ההוצאות'!$F:$F,"מרץ 2026")</f>
        <v/>
      </c>
      <c r="S12" s="44">
        <f>SUMIFS('כל ההוצאות'!$E:$E,'כל ההוצאות'!$B:$B,"Hedra",'כל ההוצאות'!$F:$F,"מרץ 2026")</f>
        <v/>
      </c>
      <c r="T12" s="43">
        <f>SUMIFS('כל ההוצאות'!$D:$D,'כל ההוצאות'!$B:$B,"Hedra",'כל ההוצאות'!$F:$F,"אפריל 2026")</f>
        <v/>
      </c>
      <c r="U12" s="44">
        <f>SUMIFS('כל ההוצאות'!$E:$E,'כל ההוצאות'!$B:$B,"Hedra",'כל ההוצאות'!$F:$F,"אפריל 2026")</f>
        <v/>
      </c>
      <c r="V12" s="43">
        <f>SUMIFS('כל ההוצאות'!$D:$D,'כל ההוצאות'!$B:$B,"Hedra",'כל ההוצאות'!$F:$F,"מאי 2026")</f>
        <v/>
      </c>
      <c r="W12" s="44">
        <f>SUMIFS('כל ההוצאות'!$E:$E,'כל ההוצאות'!$B:$B,"Hedra",'כל ההוצאות'!$F:$F,"מאי 2026")</f>
        <v/>
      </c>
      <c r="X12" s="43">
        <f>SUMIFS('כל ההוצאות'!$D:$D,'כל ההוצאות'!$B:$B,"Hedra",'כל ההוצאות'!$F:$F,"יוני 2026")</f>
        <v/>
      </c>
      <c r="Y12" s="44">
        <f>SUMIFS('כל ההוצאות'!$E:$E,'כל ההוצאות'!$B:$B,"Hedra",'כל ההוצאות'!$F:$F,"יוני 2026")</f>
        <v/>
      </c>
      <c r="Z12" s="43">
        <f>SUMIFS('כל ההוצאות'!$D:$D,'כל ההוצאות'!$B:$B,"Hedra",'כל ההוצאות'!$F:$F,"יולי 2026")</f>
        <v/>
      </c>
      <c r="AA12" s="44">
        <f>SUMIFS('כל ההוצאות'!$E:$E,'כל ההוצאות'!$B:$B,"Hedra",'כל ההוצאות'!$F:$F,"יולי 2026")</f>
        <v/>
      </c>
      <c r="AB12" s="43">
        <f>SUMIFS('כל ההוצאות'!$D:$D,'כל ההוצאות'!$B:$B,"Hedra",'כל ההוצאות'!$F:$F,"אוגוסט 2026")</f>
        <v/>
      </c>
      <c r="AC12" s="44">
        <f>SUMIFS('כל ההוצאות'!$E:$E,'כל ההוצאות'!$B:$B,"Hedra",'כל ההוצאות'!$F:$F,"אוגוסט 2026")</f>
        <v/>
      </c>
      <c r="AD12" s="43">
        <f>SUMIFS('כל ההוצאות'!$D:$D,'כל ההוצאות'!$B:$B,"Hedra",'כל ההוצאות'!$F:$F,"ספטמבר 2026")</f>
        <v/>
      </c>
      <c r="AE12" s="44">
        <f>SUMIFS('כל ההוצאות'!$E:$E,'כל ההוצאות'!$B:$B,"Hedra",'כל ההוצאות'!$F:$F,"ספטמבר 2026")</f>
        <v/>
      </c>
      <c r="AF12" s="43">
        <f>SUMIFS('כל ההוצאות'!$D:$D,'כל ההוצאות'!$B:$B,"Hedra",'כל ההוצאות'!$F:$F,"אוקטובר 2026")</f>
        <v/>
      </c>
      <c r="AG12" s="44">
        <f>SUMIFS('כל ההוצאות'!$E:$E,'כל ההוצאות'!$B:$B,"Hedra",'כל ההוצאות'!$F:$F,"אוקטובר 2026")</f>
        <v/>
      </c>
      <c r="AH12" s="43">
        <f>SUMIFS('כל ההוצאות'!$D:$D,'כל ההוצאות'!$B:$B,"Hedra",'כל ההוצאות'!$F:$F,"נובמבר 2026")</f>
        <v/>
      </c>
      <c r="AI12" s="44">
        <f>SUMIFS('כל ההוצאות'!$E:$E,'כל ההוצאות'!$B:$B,"Hedra",'כל ההוצאות'!$F:$F,"נובמבר 2026")</f>
        <v/>
      </c>
      <c r="AJ12" s="43">
        <f>SUMIFS('כל ההוצאות'!$D:$D,'כל ההוצאות'!$B:$B,"Hedra",'כל ההוצאות'!$F:$F,"דצמבר 2026")</f>
        <v/>
      </c>
      <c r="AK12" s="44">
        <f>SUMIFS('כל ההוצאות'!$E:$E,'כל ההוצאות'!$B:$B,"Hedra",'כל ההוצאות'!$F:$F,"דצמבר 2026")</f>
        <v/>
      </c>
      <c r="AL12" s="40">
        <f>SUM(B12,D12,F12,H12,J12,L12,N12,P12,R12,T12,V12,X12,Z12,AB12,AD12,AF12,AH12,AJ12)</f>
        <v/>
      </c>
      <c r="AM12" s="41">
        <f>SUM(C12,E12,G12,I12,K12,M12,O12,Q12,S12,U12,W12,Y12,AA12,AC12,AE12,AG12,AI12,AK12)</f>
        <v/>
      </c>
    </row>
    <row r="13">
      <c r="A13" s="37" t="inlineStr">
        <is>
          <t>Higgsfield</t>
        </is>
      </c>
      <c r="B13" s="38">
        <f>SUMIFS('כל ההוצאות'!$D:$D,'כל ההוצאות'!$B:$B,"Higgsfield",'כל ההוצאות'!$F:$F,"יולי 2025")</f>
        <v/>
      </c>
      <c r="C13" s="39">
        <f>SUMIFS('כל ההוצאות'!$E:$E,'כל ההוצאות'!$B:$B,"Higgsfield",'כל ההוצאות'!$F:$F,"יולי 2025")</f>
        <v/>
      </c>
      <c r="D13" s="38">
        <f>SUMIFS('כל ההוצאות'!$D:$D,'כל ההוצאות'!$B:$B,"Higgsfield",'כל ההוצאות'!$F:$F,"אוגוסט 2025")</f>
        <v/>
      </c>
      <c r="E13" s="39">
        <f>SUMIFS('כל ההוצאות'!$E:$E,'כל ההוצאות'!$B:$B,"Higgsfield",'כל ההוצאות'!$F:$F,"אוגוסט 2025")</f>
        <v/>
      </c>
      <c r="F13" s="38">
        <f>SUMIFS('כל ההוצאות'!$D:$D,'כל ההוצאות'!$B:$B,"Higgsfield",'כל ההוצאות'!$F:$F,"ספטמבר 2025")</f>
        <v/>
      </c>
      <c r="G13" s="39">
        <f>SUMIFS('כל ההוצאות'!$E:$E,'כל ההוצאות'!$B:$B,"Higgsfield",'כל ההוצאות'!$F:$F,"ספטמבר 2025")</f>
        <v/>
      </c>
      <c r="H13" s="38">
        <f>SUMIFS('כל ההוצאות'!$D:$D,'כל ההוצאות'!$B:$B,"Higgsfield",'כל ההוצאות'!$F:$F,"אוקטובר 2025")</f>
        <v/>
      </c>
      <c r="I13" s="39">
        <f>SUMIFS('כל ההוצאות'!$E:$E,'כל ההוצאות'!$B:$B,"Higgsfield",'כל ההוצאות'!$F:$F,"אוקטובר 2025")</f>
        <v/>
      </c>
      <c r="J13" s="38">
        <f>SUMIFS('כל ההוצאות'!$D:$D,'כל ההוצאות'!$B:$B,"Higgsfield",'כל ההוצאות'!$F:$F,"נובמבר 2025")</f>
        <v/>
      </c>
      <c r="K13" s="39">
        <f>SUMIFS('כל ההוצאות'!$E:$E,'כל ההוצאות'!$B:$B,"Higgsfield",'כל ההוצאות'!$F:$F,"נובמבר 2025")</f>
        <v/>
      </c>
      <c r="L13" s="38">
        <f>SUMIFS('כל ההוצאות'!$D:$D,'כל ההוצאות'!$B:$B,"Higgsfield",'כל ההוצאות'!$F:$F,"דצמבר 2025")</f>
        <v/>
      </c>
      <c r="M13" s="39">
        <f>SUMIFS('כל ההוצאות'!$E:$E,'כל ההוצאות'!$B:$B,"Higgsfield",'כל ההוצאות'!$F:$F,"דצמבר 2025")</f>
        <v/>
      </c>
      <c r="N13" s="38">
        <f>SUMIFS('כל ההוצאות'!$D:$D,'כל ההוצאות'!$B:$B,"Higgsfield",'כל ההוצאות'!$F:$F,"ינואר 2026")</f>
        <v/>
      </c>
      <c r="O13" s="39">
        <f>SUMIFS('כל ההוצאות'!$E:$E,'כל ההוצאות'!$B:$B,"Higgsfield",'כל ההוצאות'!$F:$F,"ינואר 2026")</f>
        <v/>
      </c>
      <c r="P13" s="38">
        <f>SUMIFS('כל ההוצאות'!$D:$D,'כל ההוצאות'!$B:$B,"Higgsfield",'כל ההוצאות'!$F:$F,"פברואר 2026")</f>
        <v/>
      </c>
      <c r="Q13" s="39">
        <f>SUMIFS('כל ההוצאות'!$E:$E,'כל ההוצאות'!$B:$B,"Higgsfield",'כל ההוצאות'!$F:$F,"פברואר 2026")</f>
        <v/>
      </c>
      <c r="R13" s="38">
        <f>SUMIFS('כל ההוצאות'!$D:$D,'כל ההוצאות'!$B:$B,"Higgsfield",'כל ההוצאות'!$F:$F,"מרץ 2026")</f>
        <v/>
      </c>
      <c r="S13" s="39">
        <f>SUMIFS('כל ההוצאות'!$E:$E,'כל ההוצאות'!$B:$B,"Higgsfield",'כל ההוצאות'!$F:$F,"מרץ 2026")</f>
        <v/>
      </c>
      <c r="T13" s="38">
        <f>SUMIFS('כל ההוצאות'!$D:$D,'כל ההוצאות'!$B:$B,"Higgsfield",'כל ההוצאות'!$F:$F,"אפריל 2026")</f>
        <v/>
      </c>
      <c r="U13" s="39">
        <f>SUMIFS('כל ההוצאות'!$E:$E,'כל ההוצאות'!$B:$B,"Higgsfield",'כל ההוצאות'!$F:$F,"אפריל 2026")</f>
        <v/>
      </c>
      <c r="V13" s="38">
        <f>SUMIFS('כל ההוצאות'!$D:$D,'כל ההוצאות'!$B:$B,"Higgsfield",'כל ההוצאות'!$F:$F,"מאי 2026")</f>
        <v/>
      </c>
      <c r="W13" s="39">
        <f>SUMIFS('כל ההוצאות'!$E:$E,'כל ההוצאות'!$B:$B,"Higgsfield",'כל ההוצאות'!$F:$F,"מאי 2026")</f>
        <v/>
      </c>
      <c r="X13" s="38">
        <f>SUMIFS('כל ההוצאות'!$D:$D,'כל ההוצאות'!$B:$B,"Higgsfield",'כל ההוצאות'!$F:$F,"יוני 2026")</f>
        <v/>
      </c>
      <c r="Y13" s="39">
        <f>SUMIFS('כל ההוצאות'!$E:$E,'כל ההוצאות'!$B:$B,"Higgsfield",'כל ההוצאות'!$F:$F,"יוני 2026")</f>
        <v/>
      </c>
      <c r="Z13" s="38">
        <f>SUMIFS('כל ההוצאות'!$D:$D,'כל ההוצאות'!$B:$B,"Higgsfield",'כל ההוצאות'!$F:$F,"יולי 2026")</f>
        <v/>
      </c>
      <c r="AA13" s="39">
        <f>SUMIFS('כל ההוצאות'!$E:$E,'כל ההוצאות'!$B:$B,"Higgsfield",'כל ההוצאות'!$F:$F,"יולי 2026")</f>
        <v/>
      </c>
      <c r="AB13" s="38">
        <f>SUMIFS('כל ההוצאות'!$D:$D,'כל ההוצאות'!$B:$B,"Higgsfield",'כל ההוצאות'!$F:$F,"אוגוסט 2026")</f>
        <v/>
      </c>
      <c r="AC13" s="39">
        <f>SUMIFS('כל ההוצאות'!$E:$E,'כל ההוצאות'!$B:$B,"Higgsfield",'כל ההוצאות'!$F:$F,"אוגוסט 2026")</f>
        <v/>
      </c>
      <c r="AD13" s="38">
        <f>SUMIFS('כל ההוצאות'!$D:$D,'כל ההוצאות'!$B:$B,"Higgsfield",'כל ההוצאות'!$F:$F,"ספטמבר 2026")</f>
        <v/>
      </c>
      <c r="AE13" s="39">
        <f>SUMIFS('כל ההוצאות'!$E:$E,'כל ההוצאות'!$B:$B,"Higgsfield",'כל ההוצאות'!$F:$F,"ספטמבר 2026")</f>
        <v/>
      </c>
      <c r="AF13" s="38">
        <f>SUMIFS('כל ההוצאות'!$D:$D,'כל ההוצאות'!$B:$B,"Higgsfield",'כל ההוצאות'!$F:$F,"אוקטובר 2026")</f>
        <v/>
      </c>
      <c r="AG13" s="39">
        <f>SUMIFS('כל ההוצאות'!$E:$E,'כל ההוצאות'!$B:$B,"Higgsfield",'כל ההוצאות'!$F:$F,"אוקטובר 2026")</f>
        <v/>
      </c>
      <c r="AH13" s="38">
        <f>SUMIFS('כל ההוצאות'!$D:$D,'כל ההוצאות'!$B:$B,"Higgsfield",'כל ההוצאות'!$F:$F,"נובמבר 2026")</f>
        <v/>
      </c>
      <c r="AI13" s="39">
        <f>SUMIFS('כל ההוצאות'!$E:$E,'כל ההוצאות'!$B:$B,"Higgsfield",'כל ההוצאות'!$F:$F,"נובמבר 2026")</f>
        <v/>
      </c>
      <c r="AJ13" s="38">
        <f>SUMIFS('כל ההוצאות'!$D:$D,'כל ההוצאות'!$B:$B,"Higgsfield",'כל ההוצאות'!$F:$F,"דצמבר 2026")</f>
        <v/>
      </c>
      <c r="AK13" s="39">
        <f>SUMIFS('כל ההוצאות'!$E:$E,'כל ההוצאות'!$B:$B,"Higgsfield",'כל ההוצאות'!$F:$F,"דצמבר 2026")</f>
        <v/>
      </c>
      <c r="AL13" s="40">
        <f>SUM(B13,D13,F13,H13,J13,L13,N13,P13,R13,T13,V13,X13,Z13,AB13,AD13,AF13,AH13,AJ13)</f>
        <v/>
      </c>
      <c r="AM13" s="41">
        <f>SUM(C13,E13,G13,I13,K13,M13,O13,Q13,S13,U13,W13,Y13,AA13,AC13,AE13,AG13,AI13,AK13)</f>
        <v/>
      </c>
    </row>
    <row r="14">
      <c r="A14" s="42" t="inlineStr">
        <is>
          <t>IONOS</t>
        </is>
      </c>
      <c r="B14" s="43">
        <f>SUMIFS('כל ההוצאות'!$D:$D,'כל ההוצאות'!$B:$B,"IONOS",'כל ההוצאות'!$F:$F,"יולי 2025")</f>
        <v/>
      </c>
      <c r="C14" s="44">
        <f>SUMIFS('כל ההוצאות'!$E:$E,'כל ההוצאות'!$B:$B,"IONOS",'כל ההוצאות'!$F:$F,"יולי 2025")</f>
        <v/>
      </c>
      <c r="D14" s="43">
        <f>SUMIFS('כל ההוצאות'!$D:$D,'כל ההוצאות'!$B:$B,"IONOS",'כל ההוצאות'!$F:$F,"אוגוסט 2025")</f>
        <v/>
      </c>
      <c r="E14" s="44">
        <f>SUMIFS('כל ההוצאות'!$E:$E,'כל ההוצאות'!$B:$B,"IONOS",'כל ההוצאות'!$F:$F,"אוגוסט 2025")</f>
        <v/>
      </c>
      <c r="F14" s="43">
        <f>SUMIFS('כל ההוצאות'!$D:$D,'כל ההוצאות'!$B:$B,"IONOS",'כל ההוצאות'!$F:$F,"ספטמבר 2025")</f>
        <v/>
      </c>
      <c r="G14" s="44">
        <f>SUMIFS('כל ההוצאות'!$E:$E,'כל ההוצאות'!$B:$B,"IONOS",'כל ההוצאות'!$F:$F,"ספטמבר 2025")</f>
        <v/>
      </c>
      <c r="H14" s="43">
        <f>SUMIFS('כל ההוצאות'!$D:$D,'כל ההוצאות'!$B:$B,"IONOS",'כל ההוצאות'!$F:$F,"אוקטובר 2025")</f>
        <v/>
      </c>
      <c r="I14" s="44">
        <f>SUMIFS('כל ההוצאות'!$E:$E,'כל ההוצאות'!$B:$B,"IONOS",'כל ההוצאות'!$F:$F,"אוקטובר 2025")</f>
        <v/>
      </c>
      <c r="J14" s="43">
        <f>SUMIFS('כל ההוצאות'!$D:$D,'כל ההוצאות'!$B:$B,"IONOS",'כל ההוצאות'!$F:$F,"נובמבר 2025")</f>
        <v/>
      </c>
      <c r="K14" s="44">
        <f>SUMIFS('כל ההוצאות'!$E:$E,'כל ההוצאות'!$B:$B,"IONOS",'כל ההוצאות'!$F:$F,"נובמבר 2025")</f>
        <v/>
      </c>
      <c r="L14" s="43">
        <f>SUMIFS('כל ההוצאות'!$D:$D,'כל ההוצאות'!$B:$B,"IONOS",'כל ההוצאות'!$F:$F,"דצמבר 2025")</f>
        <v/>
      </c>
      <c r="M14" s="44">
        <f>SUMIFS('כל ההוצאות'!$E:$E,'כל ההוצאות'!$B:$B,"IONOS",'כל ההוצאות'!$F:$F,"דצמבר 2025")</f>
        <v/>
      </c>
      <c r="N14" s="43">
        <f>SUMIFS('כל ההוצאות'!$D:$D,'כל ההוצאות'!$B:$B,"IONOS",'כל ההוצאות'!$F:$F,"ינואר 2026")</f>
        <v/>
      </c>
      <c r="O14" s="44">
        <f>SUMIFS('כל ההוצאות'!$E:$E,'כל ההוצאות'!$B:$B,"IONOS",'כל ההוצאות'!$F:$F,"ינואר 2026")</f>
        <v/>
      </c>
      <c r="P14" s="43">
        <f>SUMIFS('כל ההוצאות'!$D:$D,'כל ההוצאות'!$B:$B,"IONOS",'כל ההוצאות'!$F:$F,"פברואר 2026")</f>
        <v/>
      </c>
      <c r="Q14" s="44">
        <f>SUMIFS('כל ההוצאות'!$E:$E,'כל ההוצאות'!$B:$B,"IONOS",'כל ההוצאות'!$F:$F,"פברואר 2026")</f>
        <v/>
      </c>
      <c r="R14" s="43">
        <f>SUMIFS('כל ההוצאות'!$D:$D,'כל ההוצאות'!$B:$B,"IONOS",'כל ההוצאות'!$F:$F,"מרץ 2026")</f>
        <v/>
      </c>
      <c r="S14" s="44">
        <f>SUMIFS('כל ההוצאות'!$E:$E,'כל ההוצאות'!$B:$B,"IONOS",'כל ההוצאות'!$F:$F,"מרץ 2026")</f>
        <v/>
      </c>
      <c r="T14" s="43">
        <f>SUMIFS('כל ההוצאות'!$D:$D,'כל ההוצאות'!$B:$B,"IONOS",'כל ההוצאות'!$F:$F,"אפריל 2026")</f>
        <v/>
      </c>
      <c r="U14" s="44">
        <f>SUMIFS('כל ההוצאות'!$E:$E,'כל ההוצאות'!$B:$B,"IONOS",'כל ההוצאות'!$F:$F,"אפריל 2026")</f>
        <v/>
      </c>
      <c r="V14" s="43">
        <f>SUMIFS('כל ההוצאות'!$D:$D,'כל ההוצאות'!$B:$B,"IONOS",'כל ההוצאות'!$F:$F,"מאי 2026")</f>
        <v/>
      </c>
      <c r="W14" s="44">
        <f>SUMIFS('כל ההוצאות'!$E:$E,'כל ההוצאות'!$B:$B,"IONOS",'כל ההוצאות'!$F:$F,"מאי 2026")</f>
        <v/>
      </c>
      <c r="X14" s="43">
        <f>SUMIFS('כל ההוצאות'!$D:$D,'כל ההוצאות'!$B:$B,"IONOS",'כל ההוצאות'!$F:$F,"יוני 2026")</f>
        <v/>
      </c>
      <c r="Y14" s="44">
        <f>SUMIFS('כל ההוצאות'!$E:$E,'כל ההוצאות'!$B:$B,"IONOS",'כל ההוצאות'!$F:$F,"יוני 2026")</f>
        <v/>
      </c>
      <c r="Z14" s="43">
        <f>SUMIFS('כל ההוצאות'!$D:$D,'כל ההוצאות'!$B:$B,"IONOS",'כל ההוצאות'!$F:$F,"יולי 2026")</f>
        <v/>
      </c>
      <c r="AA14" s="44">
        <f>SUMIFS('כל ההוצאות'!$E:$E,'כל ההוצאות'!$B:$B,"IONOS",'כל ההוצאות'!$F:$F,"יולי 2026")</f>
        <v/>
      </c>
      <c r="AB14" s="43">
        <f>SUMIFS('כל ההוצאות'!$D:$D,'כל ההוצאות'!$B:$B,"IONOS",'כל ההוצאות'!$F:$F,"אוגוסט 2026")</f>
        <v/>
      </c>
      <c r="AC14" s="44">
        <f>SUMIFS('כל ההוצאות'!$E:$E,'כל ההוצאות'!$B:$B,"IONOS",'כל ההוצאות'!$F:$F,"אוגוסט 2026")</f>
        <v/>
      </c>
      <c r="AD14" s="43">
        <f>SUMIFS('כל ההוצאות'!$D:$D,'כל ההוצאות'!$B:$B,"IONOS",'כל ההוצאות'!$F:$F,"ספטמבר 2026")</f>
        <v/>
      </c>
      <c r="AE14" s="44">
        <f>SUMIFS('כל ההוצאות'!$E:$E,'כל ההוצאות'!$B:$B,"IONOS",'כל ההוצאות'!$F:$F,"ספטמבר 2026")</f>
        <v/>
      </c>
      <c r="AF14" s="43">
        <f>SUMIFS('כל ההוצאות'!$D:$D,'כל ההוצאות'!$B:$B,"IONOS",'כל ההוצאות'!$F:$F,"אוקטובר 2026")</f>
        <v/>
      </c>
      <c r="AG14" s="44">
        <f>SUMIFS('כל ההוצאות'!$E:$E,'כל ההוצאות'!$B:$B,"IONOS",'כל ההוצאות'!$F:$F,"אוקטובר 2026")</f>
        <v/>
      </c>
      <c r="AH14" s="43">
        <f>SUMIFS('כל ההוצאות'!$D:$D,'כל ההוצאות'!$B:$B,"IONOS",'כל ההוצאות'!$F:$F,"נובמבר 2026")</f>
        <v/>
      </c>
      <c r="AI14" s="44">
        <f>SUMIFS('כל ההוצאות'!$E:$E,'כל ההוצאות'!$B:$B,"IONOS",'כל ההוצאות'!$F:$F,"נובמבר 2026")</f>
        <v/>
      </c>
      <c r="AJ14" s="43">
        <f>SUMIFS('כל ההוצאות'!$D:$D,'כל ההוצאות'!$B:$B,"IONOS",'כל ההוצאות'!$F:$F,"דצמבר 2026")</f>
        <v/>
      </c>
      <c r="AK14" s="44">
        <f>SUMIFS('כל ההוצאות'!$E:$E,'כל ההוצאות'!$B:$B,"IONOS",'כל ההוצאות'!$F:$F,"דצמבר 2026")</f>
        <v/>
      </c>
      <c r="AL14" s="40">
        <f>SUM(B14,D14,F14,H14,J14,L14,N14,P14,R14,T14,V14,X14,Z14,AB14,AD14,AF14,AH14,AJ14)</f>
        <v/>
      </c>
      <c r="AM14" s="41">
        <f>SUM(C14,E14,G14,I14,K14,M14,O14,Q14,S14,U14,W14,Y14,AA14,AC14,AE14,AG14,AI14,AK14)</f>
        <v/>
      </c>
    </row>
    <row r="15">
      <c r="A15" s="37" t="inlineStr">
        <is>
          <t>Ideogram AI</t>
        </is>
      </c>
      <c r="B15" s="38">
        <f>SUMIFS('כל ההוצאות'!$D:$D,'כל ההוצאות'!$B:$B,"Ideogram AI",'כל ההוצאות'!$F:$F,"יולי 2025")</f>
        <v/>
      </c>
      <c r="C15" s="39">
        <f>SUMIFS('כל ההוצאות'!$E:$E,'כל ההוצאות'!$B:$B,"Ideogram AI",'כל ההוצאות'!$F:$F,"יולי 2025")</f>
        <v/>
      </c>
      <c r="D15" s="38">
        <f>SUMIFS('כל ההוצאות'!$D:$D,'כל ההוצאות'!$B:$B,"Ideogram AI",'כל ההוצאות'!$F:$F,"אוגוסט 2025")</f>
        <v/>
      </c>
      <c r="E15" s="39">
        <f>SUMIFS('כל ההוצאות'!$E:$E,'כל ההוצאות'!$B:$B,"Ideogram AI",'כל ההוצאות'!$F:$F,"אוגוסט 2025")</f>
        <v/>
      </c>
      <c r="F15" s="38">
        <f>SUMIFS('כל ההוצאות'!$D:$D,'כל ההוצאות'!$B:$B,"Ideogram AI",'כל ההוצאות'!$F:$F,"ספטמבר 2025")</f>
        <v/>
      </c>
      <c r="G15" s="39">
        <f>SUMIFS('כל ההוצאות'!$E:$E,'כל ההוצאות'!$B:$B,"Ideogram AI",'כל ההוצאות'!$F:$F,"ספטמבר 2025")</f>
        <v/>
      </c>
      <c r="H15" s="38">
        <f>SUMIFS('כל ההוצאות'!$D:$D,'כל ההוצאות'!$B:$B,"Ideogram AI",'כל ההוצאות'!$F:$F,"אוקטובר 2025")</f>
        <v/>
      </c>
      <c r="I15" s="39">
        <f>SUMIFS('כל ההוצאות'!$E:$E,'כל ההוצאות'!$B:$B,"Ideogram AI",'כל ההוצאות'!$F:$F,"אוקטובר 2025")</f>
        <v/>
      </c>
      <c r="J15" s="38">
        <f>SUMIFS('כל ההוצאות'!$D:$D,'כל ההוצאות'!$B:$B,"Ideogram AI",'כל ההוצאות'!$F:$F,"נובמבר 2025")</f>
        <v/>
      </c>
      <c r="K15" s="39">
        <f>SUMIFS('כל ההוצאות'!$E:$E,'כל ההוצאות'!$B:$B,"Ideogram AI",'כל ההוצאות'!$F:$F,"נובמבר 2025")</f>
        <v/>
      </c>
      <c r="L15" s="38">
        <f>SUMIFS('כל ההוצאות'!$D:$D,'כל ההוצאות'!$B:$B,"Ideogram AI",'כל ההוצאות'!$F:$F,"דצמבר 2025")</f>
        <v/>
      </c>
      <c r="M15" s="39">
        <f>SUMIFS('כל ההוצאות'!$E:$E,'כל ההוצאות'!$B:$B,"Ideogram AI",'כל ההוצאות'!$F:$F,"דצמבר 2025")</f>
        <v/>
      </c>
      <c r="N15" s="38">
        <f>SUMIFS('כל ההוצאות'!$D:$D,'כל ההוצאות'!$B:$B,"Ideogram AI",'כל ההוצאות'!$F:$F,"ינואר 2026")</f>
        <v/>
      </c>
      <c r="O15" s="39">
        <f>SUMIFS('כל ההוצאות'!$E:$E,'כל ההוצאות'!$B:$B,"Ideogram AI",'כל ההוצאות'!$F:$F,"ינואר 2026")</f>
        <v/>
      </c>
      <c r="P15" s="38">
        <f>SUMIFS('כל ההוצאות'!$D:$D,'כל ההוצאות'!$B:$B,"Ideogram AI",'כל ההוצאות'!$F:$F,"פברואר 2026")</f>
        <v/>
      </c>
      <c r="Q15" s="39">
        <f>SUMIFS('כל ההוצאות'!$E:$E,'כל ההוצאות'!$B:$B,"Ideogram AI",'כל ההוצאות'!$F:$F,"פברואר 2026")</f>
        <v/>
      </c>
      <c r="R15" s="38">
        <f>SUMIFS('כל ההוצאות'!$D:$D,'כל ההוצאות'!$B:$B,"Ideogram AI",'כל ההוצאות'!$F:$F,"מרץ 2026")</f>
        <v/>
      </c>
      <c r="S15" s="39">
        <f>SUMIFS('כל ההוצאות'!$E:$E,'כל ההוצאות'!$B:$B,"Ideogram AI",'כל ההוצאות'!$F:$F,"מרץ 2026")</f>
        <v/>
      </c>
      <c r="T15" s="38">
        <f>SUMIFS('כל ההוצאות'!$D:$D,'כל ההוצאות'!$B:$B,"Ideogram AI",'כל ההוצאות'!$F:$F,"אפריל 2026")</f>
        <v/>
      </c>
      <c r="U15" s="39">
        <f>SUMIFS('כל ההוצאות'!$E:$E,'כל ההוצאות'!$B:$B,"Ideogram AI",'כל ההוצאות'!$F:$F,"אפריל 2026")</f>
        <v/>
      </c>
      <c r="V15" s="38">
        <f>SUMIFS('כל ההוצאות'!$D:$D,'כל ההוצאות'!$B:$B,"Ideogram AI",'כל ההוצאות'!$F:$F,"מאי 2026")</f>
        <v/>
      </c>
      <c r="W15" s="39">
        <f>SUMIFS('כל ההוצאות'!$E:$E,'כל ההוצאות'!$B:$B,"Ideogram AI",'כל ההוצאות'!$F:$F,"מאי 2026")</f>
        <v/>
      </c>
      <c r="X15" s="38">
        <f>SUMIFS('כל ההוצאות'!$D:$D,'כל ההוצאות'!$B:$B,"Ideogram AI",'כל ההוצאות'!$F:$F,"יוני 2026")</f>
        <v/>
      </c>
      <c r="Y15" s="39">
        <f>SUMIFS('כל ההוצאות'!$E:$E,'כל ההוצאות'!$B:$B,"Ideogram AI",'כל ההוצאות'!$F:$F,"יוני 2026")</f>
        <v/>
      </c>
      <c r="Z15" s="38">
        <f>SUMIFS('כל ההוצאות'!$D:$D,'כל ההוצאות'!$B:$B,"Ideogram AI",'כל ההוצאות'!$F:$F,"יולי 2026")</f>
        <v/>
      </c>
      <c r="AA15" s="39">
        <f>SUMIFS('כל ההוצאות'!$E:$E,'כל ההוצאות'!$B:$B,"Ideogram AI",'כל ההוצאות'!$F:$F,"יולי 2026")</f>
        <v/>
      </c>
      <c r="AB15" s="38">
        <f>SUMIFS('כל ההוצאות'!$D:$D,'כל ההוצאות'!$B:$B,"Ideogram AI",'כל ההוצאות'!$F:$F,"אוגוסט 2026")</f>
        <v/>
      </c>
      <c r="AC15" s="39">
        <f>SUMIFS('כל ההוצאות'!$E:$E,'כל ההוצאות'!$B:$B,"Ideogram AI",'כל ההוצאות'!$F:$F,"אוגוסט 2026")</f>
        <v/>
      </c>
      <c r="AD15" s="38">
        <f>SUMIFS('כל ההוצאות'!$D:$D,'כל ההוצאות'!$B:$B,"Ideogram AI",'כל ההוצאות'!$F:$F,"ספטמבר 2026")</f>
        <v/>
      </c>
      <c r="AE15" s="39">
        <f>SUMIFS('כל ההוצאות'!$E:$E,'כל ההוצאות'!$B:$B,"Ideogram AI",'כל ההוצאות'!$F:$F,"ספטמבר 2026")</f>
        <v/>
      </c>
      <c r="AF15" s="38">
        <f>SUMIFS('כל ההוצאות'!$D:$D,'כל ההוצאות'!$B:$B,"Ideogram AI",'כל ההוצאות'!$F:$F,"אוקטובר 2026")</f>
        <v/>
      </c>
      <c r="AG15" s="39">
        <f>SUMIFS('כל ההוצאות'!$E:$E,'כל ההוצאות'!$B:$B,"Ideogram AI",'כל ההוצאות'!$F:$F,"אוקטובר 2026")</f>
        <v/>
      </c>
      <c r="AH15" s="38">
        <f>SUMIFS('כל ההוצאות'!$D:$D,'כל ההוצאות'!$B:$B,"Ideogram AI",'כל ההוצאות'!$F:$F,"נובמבר 2026")</f>
        <v/>
      </c>
      <c r="AI15" s="39">
        <f>SUMIFS('כל ההוצאות'!$E:$E,'כל ההוצאות'!$B:$B,"Ideogram AI",'כל ההוצאות'!$F:$F,"נובמבר 2026")</f>
        <v/>
      </c>
      <c r="AJ15" s="38">
        <f>SUMIFS('כל ההוצאות'!$D:$D,'כל ההוצאות'!$B:$B,"Ideogram AI",'כל ההוצאות'!$F:$F,"דצמבר 2026")</f>
        <v/>
      </c>
      <c r="AK15" s="39">
        <f>SUMIFS('כל ההוצאות'!$E:$E,'כל ההוצאות'!$B:$B,"Ideogram AI",'כל ההוצאות'!$F:$F,"דצמבר 2026")</f>
        <v/>
      </c>
      <c r="AL15" s="40">
        <f>SUM(B15,D15,F15,H15,J15,L15,N15,P15,R15,T15,V15,X15,Z15,AB15,AD15,AF15,AH15,AJ15)</f>
        <v/>
      </c>
      <c r="AM15" s="41">
        <f>SUM(C15,E15,G15,I15,K15,M15,O15,Q15,S15,U15,W15,Y15,AA15,AC15,AE15,AG15,AI15,AK15)</f>
        <v/>
      </c>
    </row>
    <row r="16">
      <c r="A16" s="42" t="inlineStr">
        <is>
          <t>Lovable</t>
        </is>
      </c>
      <c r="B16" s="43">
        <f>SUMIFS('כל ההוצאות'!$D:$D,'כל ההוצאות'!$B:$B,"Lovable",'כל ההוצאות'!$F:$F,"יולי 2025")</f>
        <v/>
      </c>
      <c r="C16" s="44">
        <f>SUMIFS('כל ההוצאות'!$E:$E,'כל ההוצאות'!$B:$B,"Lovable",'כל ההוצאות'!$F:$F,"יולי 2025")</f>
        <v/>
      </c>
      <c r="D16" s="43">
        <f>SUMIFS('כל ההוצאות'!$D:$D,'כל ההוצאות'!$B:$B,"Lovable",'כל ההוצאות'!$F:$F,"אוגוסט 2025")</f>
        <v/>
      </c>
      <c r="E16" s="44">
        <f>SUMIFS('כל ההוצאות'!$E:$E,'כל ההוצאות'!$B:$B,"Lovable",'כל ההוצאות'!$F:$F,"אוגוסט 2025")</f>
        <v/>
      </c>
      <c r="F16" s="43">
        <f>SUMIFS('כל ההוצאות'!$D:$D,'כל ההוצאות'!$B:$B,"Lovable",'כל ההוצאות'!$F:$F,"ספטמבר 2025")</f>
        <v/>
      </c>
      <c r="G16" s="44">
        <f>SUMIFS('כל ההוצאות'!$E:$E,'כל ההוצאות'!$B:$B,"Lovable",'כל ההוצאות'!$F:$F,"ספטמבר 2025")</f>
        <v/>
      </c>
      <c r="H16" s="43">
        <f>SUMIFS('כל ההוצאות'!$D:$D,'כל ההוצאות'!$B:$B,"Lovable",'כל ההוצאות'!$F:$F,"אוקטובר 2025")</f>
        <v/>
      </c>
      <c r="I16" s="44">
        <f>SUMIFS('כל ההוצאות'!$E:$E,'כל ההוצאות'!$B:$B,"Lovable",'כל ההוצאות'!$F:$F,"אוקטובר 2025")</f>
        <v/>
      </c>
      <c r="J16" s="43">
        <f>SUMIFS('כל ההוצאות'!$D:$D,'כל ההוצאות'!$B:$B,"Lovable",'כל ההוצאות'!$F:$F,"נובמבר 2025")</f>
        <v/>
      </c>
      <c r="K16" s="44">
        <f>SUMIFS('כל ההוצאות'!$E:$E,'כל ההוצאות'!$B:$B,"Lovable",'כל ההוצאות'!$F:$F,"נובמבר 2025")</f>
        <v/>
      </c>
      <c r="L16" s="43">
        <f>SUMIFS('כל ההוצאות'!$D:$D,'כל ההוצאות'!$B:$B,"Lovable",'כל ההוצאות'!$F:$F,"דצמבר 2025")</f>
        <v/>
      </c>
      <c r="M16" s="44">
        <f>SUMIFS('כל ההוצאות'!$E:$E,'כל ההוצאות'!$B:$B,"Lovable",'כל ההוצאות'!$F:$F,"דצמבר 2025")</f>
        <v/>
      </c>
      <c r="N16" s="43">
        <f>SUMIFS('כל ההוצאות'!$D:$D,'כל ההוצאות'!$B:$B,"Lovable",'כל ההוצאות'!$F:$F,"ינואר 2026")</f>
        <v/>
      </c>
      <c r="O16" s="44">
        <f>SUMIFS('כל ההוצאות'!$E:$E,'כל ההוצאות'!$B:$B,"Lovable",'כל ההוצאות'!$F:$F,"ינואר 2026")</f>
        <v/>
      </c>
      <c r="P16" s="43">
        <f>SUMIFS('כל ההוצאות'!$D:$D,'כל ההוצאות'!$B:$B,"Lovable",'כל ההוצאות'!$F:$F,"פברואר 2026")</f>
        <v/>
      </c>
      <c r="Q16" s="44">
        <f>SUMIFS('כל ההוצאות'!$E:$E,'כל ההוצאות'!$B:$B,"Lovable",'כל ההוצאות'!$F:$F,"פברואר 2026")</f>
        <v/>
      </c>
      <c r="R16" s="43">
        <f>SUMIFS('כל ההוצאות'!$D:$D,'כל ההוצאות'!$B:$B,"Lovable",'כל ההוצאות'!$F:$F,"מרץ 2026")</f>
        <v/>
      </c>
      <c r="S16" s="44">
        <f>SUMIFS('כל ההוצאות'!$E:$E,'כל ההוצאות'!$B:$B,"Lovable",'כל ההוצאות'!$F:$F,"מרץ 2026")</f>
        <v/>
      </c>
      <c r="T16" s="43">
        <f>SUMIFS('כל ההוצאות'!$D:$D,'כל ההוצאות'!$B:$B,"Lovable",'כל ההוצאות'!$F:$F,"אפריל 2026")</f>
        <v/>
      </c>
      <c r="U16" s="44">
        <f>SUMIFS('כל ההוצאות'!$E:$E,'כל ההוצאות'!$B:$B,"Lovable",'כל ההוצאות'!$F:$F,"אפריל 2026")</f>
        <v/>
      </c>
      <c r="V16" s="43">
        <f>SUMIFS('כל ההוצאות'!$D:$D,'כל ההוצאות'!$B:$B,"Lovable",'כל ההוצאות'!$F:$F,"מאי 2026")</f>
        <v/>
      </c>
      <c r="W16" s="44">
        <f>SUMIFS('כל ההוצאות'!$E:$E,'כל ההוצאות'!$B:$B,"Lovable",'כל ההוצאות'!$F:$F,"מאי 2026")</f>
        <v/>
      </c>
      <c r="X16" s="43">
        <f>SUMIFS('כל ההוצאות'!$D:$D,'כל ההוצאות'!$B:$B,"Lovable",'כל ההוצאות'!$F:$F,"יוני 2026")</f>
        <v/>
      </c>
      <c r="Y16" s="44">
        <f>SUMIFS('כל ההוצאות'!$E:$E,'כל ההוצאות'!$B:$B,"Lovable",'כל ההוצאות'!$F:$F,"יוני 2026")</f>
        <v/>
      </c>
      <c r="Z16" s="43">
        <f>SUMIFS('כל ההוצאות'!$D:$D,'כל ההוצאות'!$B:$B,"Lovable",'כל ההוצאות'!$F:$F,"יולי 2026")</f>
        <v/>
      </c>
      <c r="AA16" s="44">
        <f>SUMIFS('כל ההוצאות'!$E:$E,'כל ההוצאות'!$B:$B,"Lovable",'כל ההוצאות'!$F:$F,"יולי 2026")</f>
        <v/>
      </c>
      <c r="AB16" s="43">
        <f>SUMIFS('כל ההוצאות'!$D:$D,'כל ההוצאות'!$B:$B,"Lovable",'כל ההוצאות'!$F:$F,"אוגוסט 2026")</f>
        <v/>
      </c>
      <c r="AC16" s="44">
        <f>SUMIFS('כל ההוצאות'!$E:$E,'כל ההוצאות'!$B:$B,"Lovable",'כל ההוצאות'!$F:$F,"אוגוסט 2026")</f>
        <v/>
      </c>
      <c r="AD16" s="43">
        <f>SUMIFS('כל ההוצאות'!$D:$D,'כל ההוצאות'!$B:$B,"Lovable",'כל ההוצאות'!$F:$F,"ספטמבר 2026")</f>
        <v/>
      </c>
      <c r="AE16" s="44">
        <f>SUMIFS('כל ההוצאות'!$E:$E,'כל ההוצאות'!$B:$B,"Lovable",'כל ההוצאות'!$F:$F,"ספטמבר 2026")</f>
        <v/>
      </c>
      <c r="AF16" s="43">
        <f>SUMIFS('כל ההוצאות'!$D:$D,'כל ההוצאות'!$B:$B,"Lovable",'כל ההוצאות'!$F:$F,"אוקטובר 2026")</f>
        <v/>
      </c>
      <c r="AG16" s="44">
        <f>SUMIFS('כל ההוצאות'!$E:$E,'כל ההוצאות'!$B:$B,"Lovable",'כל ההוצאות'!$F:$F,"אוקטובר 2026")</f>
        <v/>
      </c>
      <c r="AH16" s="43">
        <f>SUMIFS('כל ההוצאות'!$D:$D,'כל ההוצאות'!$B:$B,"Lovable",'כל ההוצאות'!$F:$F,"נובמבר 2026")</f>
        <v/>
      </c>
      <c r="AI16" s="44">
        <f>SUMIFS('כל ההוצאות'!$E:$E,'כל ההוצאות'!$B:$B,"Lovable",'כל ההוצאות'!$F:$F,"נובמבר 2026")</f>
        <v/>
      </c>
      <c r="AJ16" s="43">
        <f>SUMIFS('כל ההוצאות'!$D:$D,'כל ההוצאות'!$B:$B,"Lovable",'כל ההוצאות'!$F:$F,"דצמבר 2026")</f>
        <v/>
      </c>
      <c r="AK16" s="44">
        <f>SUMIFS('כל ההוצאות'!$E:$E,'כל ההוצאות'!$B:$B,"Lovable",'כל ההוצאות'!$F:$F,"דצמבר 2026")</f>
        <v/>
      </c>
      <c r="AL16" s="40">
        <f>SUM(B16,D16,F16,H16,J16,L16,N16,P16,R16,T16,V16,X16,Z16,AB16,AD16,AF16,AH16,AJ16)</f>
        <v/>
      </c>
      <c r="AM16" s="41">
        <f>SUM(C16,E16,G16,I16,K16,M16,O16,Q16,S16,U16,W16,Y16,AA16,AC16,AE16,AG16,AI16,AK16)</f>
        <v/>
      </c>
    </row>
    <row r="17">
      <c r="A17" s="37" t="inlineStr">
        <is>
          <t>Make</t>
        </is>
      </c>
      <c r="B17" s="38">
        <f>SUMIFS('כל ההוצאות'!$D:$D,'כל ההוצאות'!$B:$B,"Make",'כל ההוצאות'!$F:$F,"יולי 2025")</f>
        <v/>
      </c>
      <c r="C17" s="39">
        <f>SUMIFS('כל ההוצאות'!$E:$E,'כל ההוצאות'!$B:$B,"Make",'כל ההוצאות'!$F:$F,"יולי 2025")</f>
        <v/>
      </c>
      <c r="D17" s="38">
        <f>SUMIFS('כל ההוצאות'!$D:$D,'כל ההוצאות'!$B:$B,"Make",'כל ההוצאות'!$F:$F,"אוגוסט 2025")</f>
        <v/>
      </c>
      <c r="E17" s="39">
        <f>SUMIFS('כל ההוצאות'!$E:$E,'כל ההוצאות'!$B:$B,"Make",'כל ההוצאות'!$F:$F,"אוגוסט 2025")</f>
        <v/>
      </c>
      <c r="F17" s="38">
        <f>SUMIFS('כל ההוצאות'!$D:$D,'כל ההוצאות'!$B:$B,"Make",'כל ההוצאות'!$F:$F,"ספטמבר 2025")</f>
        <v/>
      </c>
      <c r="G17" s="39">
        <f>SUMIFS('כל ההוצאות'!$E:$E,'כל ההוצאות'!$B:$B,"Make",'כל ההוצאות'!$F:$F,"ספטמבר 2025")</f>
        <v/>
      </c>
      <c r="H17" s="38">
        <f>SUMIFS('כל ההוצאות'!$D:$D,'כל ההוצאות'!$B:$B,"Make",'כל ההוצאות'!$F:$F,"אוקטובר 2025")</f>
        <v/>
      </c>
      <c r="I17" s="39">
        <f>SUMIFS('כל ההוצאות'!$E:$E,'כל ההוצאות'!$B:$B,"Make",'כל ההוצאות'!$F:$F,"אוקטובר 2025")</f>
        <v/>
      </c>
      <c r="J17" s="38">
        <f>SUMIFS('כל ההוצאות'!$D:$D,'כל ההוצאות'!$B:$B,"Make",'כל ההוצאות'!$F:$F,"נובמבר 2025")</f>
        <v/>
      </c>
      <c r="K17" s="39">
        <f>SUMIFS('כל ההוצאות'!$E:$E,'כל ההוצאות'!$B:$B,"Make",'כל ההוצאות'!$F:$F,"נובמבר 2025")</f>
        <v/>
      </c>
      <c r="L17" s="38">
        <f>SUMIFS('כל ההוצאות'!$D:$D,'כל ההוצאות'!$B:$B,"Make",'כל ההוצאות'!$F:$F,"דצמבר 2025")</f>
        <v/>
      </c>
      <c r="M17" s="39">
        <f>SUMIFS('כל ההוצאות'!$E:$E,'כל ההוצאות'!$B:$B,"Make",'כל ההוצאות'!$F:$F,"דצמבר 2025")</f>
        <v/>
      </c>
      <c r="N17" s="38">
        <f>SUMIFS('כל ההוצאות'!$D:$D,'כל ההוצאות'!$B:$B,"Make",'כל ההוצאות'!$F:$F,"ינואר 2026")</f>
        <v/>
      </c>
      <c r="O17" s="39">
        <f>SUMIFS('כל ההוצאות'!$E:$E,'כל ההוצאות'!$B:$B,"Make",'כל ההוצאות'!$F:$F,"ינואר 2026")</f>
        <v/>
      </c>
      <c r="P17" s="38">
        <f>SUMIFS('כל ההוצאות'!$D:$D,'כל ההוצאות'!$B:$B,"Make",'כל ההוצאות'!$F:$F,"פברואר 2026")</f>
        <v/>
      </c>
      <c r="Q17" s="39">
        <f>SUMIFS('כל ההוצאות'!$E:$E,'כל ההוצאות'!$B:$B,"Make",'כל ההוצאות'!$F:$F,"פברואר 2026")</f>
        <v/>
      </c>
      <c r="R17" s="38">
        <f>SUMIFS('כל ההוצאות'!$D:$D,'כל ההוצאות'!$B:$B,"Make",'כל ההוצאות'!$F:$F,"מרץ 2026")</f>
        <v/>
      </c>
      <c r="S17" s="39">
        <f>SUMIFS('כל ההוצאות'!$E:$E,'כל ההוצאות'!$B:$B,"Make",'כל ההוצאות'!$F:$F,"מרץ 2026")</f>
        <v/>
      </c>
      <c r="T17" s="38">
        <f>SUMIFS('כל ההוצאות'!$D:$D,'כל ההוצאות'!$B:$B,"Make",'כל ההוצאות'!$F:$F,"אפריל 2026")</f>
        <v/>
      </c>
      <c r="U17" s="39">
        <f>SUMIFS('כל ההוצאות'!$E:$E,'כל ההוצאות'!$B:$B,"Make",'כל ההוצאות'!$F:$F,"אפריל 2026")</f>
        <v/>
      </c>
      <c r="V17" s="38">
        <f>SUMIFS('כל ההוצאות'!$D:$D,'כל ההוצאות'!$B:$B,"Make",'כל ההוצאות'!$F:$F,"מאי 2026")</f>
        <v/>
      </c>
      <c r="W17" s="39">
        <f>SUMIFS('כל ההוצאות'!$E:$E,'כל ההוצאות'!$B:$B,"Make",'כל ההוצאות'!$F:$F,"מאי 2026")</f>
        <v/>
      </c>
      <c r="X17" s="38">
        <f>SUMIFS('כל ההוצאות'!$D:$D,'כל ההוצאות'!$B:$B,"Make",'כל ההוצאות'!$F:$F,"יוני 2026")</f>
        <v/>
      </c>
      <c r="Y17" s="39">
        <f>SUMIFS('כל ההוצאות'!$E:$E,'כל ההוצאות'!$B:$B,"Make",'כל ההוצאות'!$F:$F,"יוני 2026")</f>
        <v/>
      </c>
      <c r="Z17" s="38">
        <f>SUMIFS('כל ההוצאות'!$D:$D,'כל ההוצאות'!$B:$B,"Make",'כל ההוצאות'!$F:$F,"יולי 2026")</f>
        <v/>
      </c>
      <c r="AA17" s="39">
        <f>SUMIFS('כל ההוצאות'!$E:$E,'כל ההוצאות'!$B:$B,"Make",'כל ההוצאות'!$F:$F,"יולי 2026")</f>
        <v/>
      </c>
      <c r="AB17" s="38">
        <f>SUMIFS('כל ההוצאות'!$D:$D,'כל ההוצאות'!$B:$B,"Make",'כל ההוצאות'!$F:$F,"אוגוסט 2026")</f>
        <v/>
      </c>
      <c r="AC17" s="39">
        <f>SUMIFS('כל ההוצאות'!$E:$E,'כל ההוצאות'!$B:$B,"Make",'כל ההוצאות'!$F:$F,"אוגוסט 2026")</f>
        <v/>
      </c>
      <c r="AD17" s="38">
        <f>SUMIFS('כל ההוצאות'!$D:$D,'כל ההוצאות'!$B:$B,"Make",'כל ההוצאות'!$F:$F,"ספטמבר 2026")</f>
        <v/>
      </c>
      <c r="AE17" s="39">
        <f>SUMIFS('כל ההוצאות'!$E:$E,'כל ההוצאות'!$B:$B,"Make",'כל ההוצאות'!$F:$F,"ספטמבר 2026")</f>
        <v/>
      </c>
      <c r="AF17" s="38">
        <f>SUMIFS('כל ההוצאות'!$D:$D,'כל ההוצאות'!$B:$B,"Make",'כל ההוצאות'!$F:$F,"אוקטובר 2026")</f>
        <v/>
      </c>
      <c r="AG17" s="39">
        <f>SUMIFS('כל ההוצאות'!$E:$E,'כל ההוצאות'!$B:$B,"Make",'כל ההוצאות'!$F:$F,"אוקטובר 2026")</f>
        <v/>
      </c>
      <c r="AH17" s="38">
        <f>SUMIFS('כל ההוצאות'!$D:$D,'כל ההוצאות'!$B:$B,"Make",'כל ההוצאות'!$F:$F,"נובמבר 2026")</f>
        <v/>
      </c>
      <c r="AI17" s="39">
        <f>SUMIFS('כל ההוצאות'!$E:$E,'כל ההוצאות'!$B:$B,"Make",'כל ההוצאות'!$F:$F,"נובמבר 2026")</f>
        <v/>
      </c>
      <c r="AJ17" s="38">
        <f>SUMIFS('כל ההוצאות'!$D:$D,'כל ההוצאות'!$B:$B,"Make",'כל ההוצאות'!$F:$F,"דצמבר 2026")</f>
        <v/>
      </c>
      <c r="AK17" s="39">
        <f>SUMIFS('כל ההוצאות'!$E:$E,'כל ההוצאות'!$B:$B,"Make",'כל ההוצאות'!$F:$F,"דצמבר 2026")</f>
        <v/>
      </c>
      <c r="AL17" s="40">
        <f>SUM(B17,D17,F17,H17,J17,L17,N17,P17,R17,T17,V17,X17,Z17,AB17,AD17,AF17,AH17,AJ17)</f>
        <v/>
      </c>
      <c r="AM17" s="41">
        <f>SUM(C17,E17,G17,I17,K17,M17,O17,Q17,S17,U17,W17,Y17,AA17,AC17,AE17,AG17,AI17,AK17)</f>
        <v/>
      </c>
    </row>
    <row r="18">
      <c r="A18" s="42" t="inlineStr">
        <is>
          <t>Manus AI</t>
        </is>
      </c>
      <c r="B18" s="43">
        <f>SUMIFS('כל ההוצאות'!$D:$D,'כל ההוצאות'!$B:$B,"Manus AI",'כל ההוצאות'!$F:$F,"יולי 2025")</f>
        <v/>
      </c>
      <c r="C18" s="44">
        <f>SUMIFS('כל ההוצאות'!$E:$E,'כל ההוצאות'!$B:$B,"Manus AI",'כל ההוצאות'!$F:$F,"יולי 2025")</f>
        <v/>
      </c>
      <c r="D18" s="43">
        <f>SUMIFS('כל ההוצאות'!$D:$D,'כל ההוצאות'!$B:$B,"Manus AI",'כל ההוצאות'!$F:$F,"אוגוסט 2025")</f>
        <v/>
      </c>
      <c r="E18" s="44">
        <f>SUMIFS('כל ההוצאות'!$E:$E,'כל ההוצאות'!$B:$B,"Manus AI",'כל ההוצאות'!$F:$F,"אוגוסט 2025")</f>
        <v/>
      </c>
      <c r="F18" s="43">
        <f>SUMIFS('כל ההוצאות'!$D:$D,'כל ההוצאות'!$B:$B,"Manus AI",'כל ההוצאות'!$F:$F,"ספטמבר 2025")</f>
        <v/>
      </c>
      <c r="G18" s="44">
        <f>SUMIFS('כל ההוצאות'!$E:$E,'כל ההוצאות'!$B:$B,"Manus AI",'כל ההוצאות'!$F:$F,"ספטמבר 2025")</f>
        <v/>
      </c>
      <c r="H18" s="43">
        <f>SUMIFS('כל ההוצאות'!$D:$D,'כל ההוצאות'!$B:$B,"Manus AI",'כל ההוצאות'!$F:$F,"אוקטובר 2025")</f>
        <v/>
      </c>
      <c r="I18" s="44">
        <f>SUMIFS('כל ההוצאות'!$E:$E,'כל ההוצאות'!$B:$B,"Manus AI",'כל ההוצאות'!$F:$F,"אוקטובר 2025")</f>
        <v/>
      </c>
      <c r="J18" s="43">
        <f>SUMIFS('כל ההוצאות'!$D:$D,'כל ההוצאות'!$B:$B,"Manus AI",'כל ההוצאות'!$F:$F,"נובמבר 2025")</f>
        <v/>
      </c>
      <c r="K18" s="44">
        <f>SUMIFS('כל ההוצאות'!$E:$E,'כל ההוצאות'!$B:$B,"Manus AI",'כל ההוצאות'!$F:$F,"נובמבר 2025")</f>
        <v/>
      </c>
      <c r="L18" s="43">
        <f>SUMIFS('כל ההוצאות'!$D:$D,'כל ההוצאות'!$B:$B,"Manus AI",'כל ההוצאות'!$F:$F,"דצמבר 2025")</f>
        <v/>
      </c>
      <c r="M18" s="44">
        <f>SUMIFS('כל ההוצאות'!$E:$E,'כל ההוצאות'!$B:$B,"Manus AI",'כל ההוצאות'!$F:$F,"דצמבר 2025")</f>
        <v/>
      </c>
      <c r="N18" s="43">
        <f>SUMIFS('כל ההוצאות'!$D:$D,'כל ההוצאות'!$B:$B,"Manus AI",'כל ההוצאות'!$F:$F,"ינואר 2026")</f>
        <v/>
      </c>
      <c r="O18" s="44">
        <f>SUMIFS('כל ההוצאות'!$E:$E,'כל ההוצאות'!$B:$B,"Manus AI",'כל ההוצאות'!$F:$F,"ינואר 2026")</f>
        <v/>
      </c>
      <c r="P18" s="43">
        <f>SUMIFS('כל ההוצאות'!$D:$D,'כל ההוצאות'!$B:$B,"Manus AI",'כל ההוצאות'!$F:$F,"פברואר 2026")</f>
        <v/>
      </c>
      <c r="Q18" s="44">
        <f>SUMIFS('כל ההוצאות'!$E:$E,'כל ההוצאות'!$B:$B,"Manus AI",'כל ההוצאות'!$F:$F,"פברואר 2026")</f>
        <v/>
      </c>
      <c r="R18" s="43">
        <f>SUMIFS('כל ההוצאות'!$D:$D,'כל ההוצאות'!$B:$B,"Manus AI",'כל ההוצאות'!$F:$F,"מרץ 2026")</f>
        <v/>
      </c>
      <c r="S18" s="44">
        <f>SUMIFS('כל ההוצאות'!$E:$E,'כל ההוצאות'!$B:$B,"Manus AI",'כל ההוצאות'!$F:$F,"מרץ 2026")</f>
        <v/>
      </c>
      <c r="T18" s="43">
        <f>SUMIFS('כל ההוצאות'!$D:$D,'כל ההוצאות'!$B:$B,"Manus AI",'כל ההוצאות'!$F:$F,"אפריל 2026")</f>
        <v/>
      </c>
      <c r="U18" s="44">
        <f>SUMIFS('כל ההוצאות'!$E:$E,'כל ההוצאות'!$B:$B,"Manus AI",'כל ההוצאות'!$F:$F,"אפריל 2026")</f>
        <v/>
      </c>
      <c r="V18" s="43">
        <f>SUMIFS('כל ההוצאות'!$D:$D,'כל ההוצאות'!$B:$B,"Manus AI",'כל ההוצאות'!$F:$F,"מאי 2026")</f>
        <v/>
      </c>
      <c r="W18" s="44">
        <f>SUMIFS('כל ההוצאות'!$E:$E,'כל ההוצאות'!$B:$B,"Manus AI",'כל ההוצאות'!$F:$F,"מאי 2026")</f>
        <v/>
      </c>
      <c r="X18" s="43">
        <f>SUMIFS('כל ההוצאות'!$D:$D,'כל ההוצאות'!$B:$B,"Manus AI",'כל ההוצאות'!$F:$F,"יוני 2026")</f>
        <v/>
      </c>
      <c r="Y18" s="44">
        <f>SUMIFS('כל ההוצאות'!$E:$E,'כל ההוצאות'!$B:$B,"Manus AI",'כל ההוצאות'!$F:$F,"יוני 2026")</f>
        <v/>
      </c>
      <c r="Z18" s="43">
        <f>SUMIFS('כל ההוצאות'!$D:$D,'כל ההוצאות'!$B:$B,"Manus AI",'כל ההוצאות'!$F:$F,"יולי 2026")</f>
        <v/>
      </c>
      <c r="AA18" s="44">
        <f>SUMIFS('כל ההוצאות'!$E:$E,'כל ההוצאות'!$B:$B,"Manus AI",'כל ההוצאות'!$F:$F,"יולי 2026")</f>
        <v/>
      </c>
      <c r="AB18" s="43">
        <f>SUMIFS('כל ההוצאות'!$D:$D,'כל ההוצאות'!$B:$B,"Manus AI",'כל ההוצאות'!$F:$F,"אוגוסט 2026")</f>
        <v/>
      </c>
      <c r="AC18" s="44">
        <f>SUMIFS('כל ההוצאות'!$E:$E,'כל ההוצאות'!$B:$B,"Manus AI",'כל ההוצאות'!$F:$F,"אוגוסט 2026")</f>
        <v/>
      </c>
      <c r="AD18" s="43">
        <f>SUMIFS('כל ההוצאות'!$D:$D,'כל ההוצאות'!$B:$B,"Manus AI",'כל ההוצאות'!$F:$F,"ספטמבר 2026")</f>
        <v/>
      </c>
      <c r="AE18" s="44">
        <f>SUMIFS('כל ההוצאות'!$E:$E,'כל ההוצאות'!$B:$B,"Manus AI",'כל ההוצאות'!$F:$F,"ספטמבר 2026")</f>
        <v/>
      </c>
      <c r="AF18" s="43">
        <f>SUMIFS('כל ההוצאות'!$D:$D,'כל ההוצאות'!$B:$B,"Manus AI",'כל ההוצאות'!$F:$F,"אוקטובר 2026")</f>
        <v/>
      </c>
      <c r="AG18" s="44">
        <f>SUMIFS('כל ההוצאות'!$E:$E,'כל ההוצאות'!$B:$B,"Manus AI",'כל ההוצאות'!$F:$F,"אוקטובר 2026")</f>
        <v/>
      </c>
      <c r="AH18" s="43">
        <f>SUMIFS('כל ההוצאות'!$D:$D,'כל ההוצאות'!$B:$B,"Manus AI",'כל ההוצאות'!$F:$F,"נובמבר 2026")</f>
        <v/>
      </c>
      <c r="AI18" s="44">
        <f>SUMIFS('כל ההוצאות'!$E:$E,'כל ההוצאות'!$B:$B,"Manus AI",'כל ההוצאות'!$F:$F,"נובמבר 2026")</f>
        <v/>
      </c>
      <c r="AJ18" s="43">
        <f>SUMIFS('כל ההוצאות'!$D:$D,'כל ההוצאות'!$B:$B,"Manus AI",'כל ההוצאות'!$F:$F,"דצמבר 2026")</f>
        <v/>
      </c>
      <c r="AK18" s="44">
        <f>SUMIFS('כל ההוצאות'!$E:$E,'כל ההוצאות'!$B:$B,"Manus AI",'כל ההוצאות'!$F:$F,"דצמבר 2026")</f>
        <v/>
      </c>
      <c r="AL18" s="40">
        <f>SUM(B18,D18,F18,H18,J18,L18,N18,P18,R18,T18,V18,X18,Z18,AB18,AD18,AF18,AH18,AJ18)</f>
        <v/>
      </c>
      <c r="AM18" s="41">
        <f>SUM(C18,E18,G18,I18,K18,M18,O18,Q18,S18,U18,W18,Y18,AA18,AC18,AE18,AG18,AI18,AK18)</f>
        <v/>
      </c>
    </row>
    <row r="19">
      <c r="A19" s="37" t="inlineStr">
        <is>
          <t>Manychat</t>
        </is>
      </c>
      <c r="B19" s="38">
        <f>SUMIFS('כל ההוצאות'!$D:$D,'כל ההוצאות'!$B:$B,"Manychat",'כל ההוצאות'!$F:$F,"יולי 2025")</f>
        <v/>
      </c>
      <c r="C19" s="39">
        <f>SUMIFS('כל ההוצאות'!$E:$E,'כל ההוצאות'!$B:$B,"Manychat",'כל ההוצאות'!$F:$F,"יולי 2025")</f>
        <v/>
      </c>
      <c r="D19" s="38">
        <f>SUMIFS('כל ההוצאות'!$D:$D,'כל ההוצאות'!$B:$B,"Manychat",'כל ההוצאות'!$F:$F,"אוגוסט 2025")</f>
        <v/>
      </c>
      <c r="E19" s="39">
        <f>SUMIFS('כל ההוצאות'!$E:$E,'כל ההוצאות'!$B:$B,"Manychat",'כל ההוצאות'!$F:$F,"אוגוסט 2025")</f>
        <v/>
      </c>
      <c r="F19" s="38">
        <f>SUMIFS('כל ההוצאות'!$D:$D,'כל ההוצאות'!$B:$B,"Manychat",'כל ההוצאות'!$F:$F,"ספטמבר 2025")</f>
        <v/>
      </c>
      <c r="G19" s="39">
        <f>SUMIFS('כל ההוצאות'!$E:$E,'כל ההוצאות'!$B:$B,"Manychat",'כל ההוצאות'!$F:$F,"ספטמבר 2025")</f>
        <v/>
      </c>
      <c r="H19" s="38">
        <f>SUMIFS('כל ההוצאות'!$D:$D,'כל ההוצאות'!$B:$B,"Manychat",'כל ההוצאות'!$F:$F,"אוקטובר 2025")</f>
        <v/>
      </c>
      <c r="I19" s="39">
        <f>SUMIFS('כל ההוצאות'!$E:$E,'כל ההוצאות'!$B:$B,"Manychat",'כל ההוצאות'!$F:$F,"אוקטובר 2025")</f>
        <v/>
      </c>
      <c r="J19" s="38">
        <f>SUMIFS('כל ההוצאות'!$D:$D,'כל ההוצאות'!$B:$B,"Manychat",'כל ההוצאות'!$F:$F,"נובמבר 2025")</f>
        <v/>
      </c>
      <c r="K19" s="39">
        <f>SUMIFS('כל ההוצאות'!$E:$E,'כל ההוצאות'!$B:$B,"Manychat",'כל ההוצאות'!$F:$F,"נובמבר 2025")</f>
        <v/>
      </c>
      <c r="L19" s="38">
        <f>SUMIFS('כל ההוצאות'!$D:$D,'כל ההוצאות'!$B:$B,"Manychat",'כל ההוצאות'!$F:$F,"דצמבר 2025")</f>
        <v/>
      </c>
      <c r="M19" s="39">
        <f>SUMIFS('כל ההוצאות'!$E:$E,'כל ההוצאות'!$B:$B,"Manychat",'כל ההוצאות'!$F:$F,"דצמבר 2025")</f>
        <v/>
      </c>
      <c r="N19" s="38">
        <f>SUMIFS('כל ההוצאות'!$D:$D,'כל ההוצאות'!$B:$B,"Manychat",'כל ההוצאות'!$F:$F,"ינואר 2026")</f>
        <v/>
      </c>
      <c r="O19" s="39">
        <f>SUMIFS('כל ההוצאות'!$E:$E,'כל ההוצאות'!$B:$B,"Manychat",'כל ההוצאות'!$F:$F,"ינואר 2026")</f>
        <v/>
      </c>
      <c r="P19" s="38">
        <f>SUMIFS('כל ההוצאות'!$D:$D,'כל ההוצאות'!$B:$B,"Manychat",'כל ההוצאות'!$F:$F,"פברואר 2026")</f>
        <v/>
      </c>
      <c r="Q19" s="39">
        <f>SUMIFS('כל ההוצאות'!$E:$E,'כל ההוצאות'!$B:$B,"Manychat",'כל ההוצאות'!$F:$F,"פברואר 2026")</f>
        <v/>
      </c>
      <c r="R19" s="38">
        <f>SUMIFS('כל ההוצאות'!$D:$D,'כל ההוצאות'!$B:$B,"Manychat",'כל ההוצאות'!$F:$F,"מרץ 2026")</f>
        <v/>
      </c>
      <c r="S19" s="39">
        <f>SUMIFS('כל ההוצאות'!$E:$E,'כל ההוצאות'!$B:$B,"Manychat",'כל ההוצאות'!$F:$F,"מרץ 2026")</f>
        <v/>
      </c>
      <c r="T19" s="38">
        <f>SUMIFS('כל ההוצאות'!$D:$D,'כל ההוצאות'!$B:$B,"Manychat",'כל ההוצאות'!$F:$F,"אפריל 2026")</f>
        <v/>
      </c>
      <c r="U19" s="39">
        <f>SUMIFS('כל ההוצאות'!$E:$E,'כל ההוצאות'!$B:$B,"Manychat",'כל ההוצאות'!$F:$F,"אפריל 2026")</f>
        <v/>
      </c>
      <c r="V19" s="38">
        <f>SUMIFS('כל ההוצאות'!$D:$D,'כל ההוצאות'!$B:$B,"Manychat",'כל ההוצאות'!$F:$F,"מאי 2026")</f>
        <v/>
      </c>
      <c r="W19" s="39">
        <f>SUMIFS('כל ההוצאות'!$E:$E,'כל ההוצאות'!$B:$B,"Manychat",'כל ההוצאות'!$F:$F,"מאי 2026")</f>
        <v/>
      </c>
      <c r="X19" s="38">
        <f>SUMIFS('כל ההוצאות'!$D:$D,'כל ההוצאות'!$B:$B,"Manychat",'כל ההוצאות'!$F:$F,"יוני 2026")</f>
        <v/>
      </c>
      <c r="Y19" s="39">
        <f>SUMIFS('כל ההוצאות'!$E:$E,'כל ההוצאות'!$B:$B,"Manychat",'כל ההוצאות'!$F:$F,"יוני 2026")</f>
        <v/>
      </c>
      <c r="Z19" s="38">
        <f>SUMIFS('כל ההוצאות'!$D:$D,'כל ההוצאות'!$B:$B,"Manychat",'כל ההוצאות'!$F:$F,"יולי 2026")</f>
        <v/>
      </c>
      <c r="AA19" s="39">
        <f>SUMIFS('כל ההוצאות'!$E:$E,'כל ההוצאות'!$B:$B,"Manychat",'כל ההוצאות'!$F:$F,"יולי 2026")</f>
        <v/>
      </c>
      <c r="AB19" s="38">
        <f>SUMIFS('כל ההוצאות'!$D:$D,'כל ההוצאות'!$B:$B,"Manychat",'כל ההוצאות'!$F:$F,"אוגוסט 2026")</f>
        <v/>
      </c>
      <c r="AC19" s="39">
        <f>SUMIFS('כל ההוצאות'!$E:$E,'כל ההוצאות'!$B:$B,"Manychat",'כל ההוצאות'!$F:$F,"אוגוסט 2026")</f>
        <v/>
      </c>
      <c r="AD19" s="38">
        <f>SUMIFS('כל ההוצאות'!$D:$D,'כל ההוצאות'!$B:$B,"Manychat",'כל ההוצאות'!$F:$F,"ספטמבר 2026")</f>
        <v/>
      </c>
      <c r="AE19" s="39">
        <f>SUMIFS('כל ההוצאות'!$E:$E,'כל ההוצאות'!$B:$B,"Manychat",'כל ההוצאות'!$F:$F,"ספטמבר 2026")</f>
        <v/>
      </c>
      <c r="AF19" s="38">
        <f>SUMIFS('כל ההוצאות'!$D:$D,'כל ההוצאות'!$B:$B,"Manychat",'כל ההוצאות'!$F:$F,"אוקטובר 2026")</f>
        <v/>
      </c>
      <c r="AG19" s="39">
        <f>SUMIFS('כל ההוצאות'!$E:$E,'כל ההוצאות'!$B:$B,"Manychat",'כל ההוצאות'!$F:$F,"אוקטובר 2026")</f>
        <v/>
      </c>
      <c r="AH19" s="38">
        <f>SUMIFS('כל ההוצאות'!$D:$D,'כל ההוצאות'!$B:$B,"Manychat",'כל ההוצאות'!$F:$F,"נובמבר 2026")</f>
        <v/>
      </c>
      <c r="AI19" s="39">
        <f>SUMIFS('כל ההוצאות'!$E:$E,'כל ההוצאות'!$B:$B,"Manychat",'כל ההוצאות'!$F:$F,"נובמבר 2026")</f>
        <v/>
      </c>
      <c r="AJ19" s="38">
        <f>SUMIFS('כל ההוצאות'!$D:$D,'כל ההוצאות'!$B:$B,"Manychat",'כל ההוצאות'!$F:$F,"דצמבר 2026")</f>
        <v/>
      </c>
      <c r="AK19" s="39">
        <f>SUMIFS('כל ההוצאות'!$E:$E,'כל ההוצאות'!$B:$B,"Manychat",'כל ההוצאות'!$F:$F,"דצמבר 2026")</f>
        <v/>
      </c>
      <c r="AL19" s="40">
        <f>SUM(B19,D19,F19,H19,J19,L19,N19,P19,R19,T19,V19,X19,Z19,AB19,AD19,AF19,AH19,AJ19)</f>
        <v/>
      </c>
      <c r="AM19" s="41">
        <f>SUM(C19,E19,G19,I19,K19,M19,O19,Q19,S19,U19,W19,Y19,AA19,AC19,AE19,AG19,AI19,AK19)</f>
        <v/>
      </c>
    </row>
    <row r="20">
      <c r="A20" s="42" t="inlineStr">
        <is>
          <t>Meta (Ads)</t>
        </is>
      </c>
      <c r="B20" s="43">
        <f>SUMIFS('כל ההוצאות'!$D:$D,'כל ההוצאות'!$B:$B,"Meta (Ads)",'כל ההוצאות'!$F:$F,"יולי 2025")</f>
        <v/>
      </c>
      <c r="C20" s="44">
        <f>SUMIFS('כל ההוצאות'!$E:$E,'כל ההוצאות'!$B:$B,"Meta (Ads)",'כל ההוצאות'!$F:$F,"יולי 2025")</f>
        <v/>
      </c>
      <c r="D20" s="43">
        <f>SUMIFS('כל ההוצאות'!$D:$D,'כל ההוצאות'!$B:$B,"Meta (Ads)",'כל ההוצאות'!$F:$F,"אוגוסט 2025")</f>
        <v/>
      </c>
      <c r="E20" s="44">
        <f>SUMIFS('כל ההוצאות'!$E:$E,'כל ההוצאות'!$B:$B,"Meta (Ads)",'כל ההוצאות'!$F:$F,"אוגוסט 2025")</f>
        <v/>
      </c>
      <c r="F20" s="43">
        <f>SUMIFS('כל ההוצאות'!$D:$D,'כל ההוצאות'!$B:$B,"Meta (Ads)",'כל ההוצאות'!$F:$F,"ספטמבר 2025")</f>
        <v/>
      </c>
      <c r="G20" s="44">
        <f>SUMIFS('כל ההוצאות'!$E:$E,'כל ההוצאות'!$B:$B,"Meta (Ads)",'כל ההוצאות'!$F:$F,"ספטמבר 2025")</f>
        <v/>
      </c>
      <c r="H20" s="43">
        <f>SUMIFS('כל ההוצאות'!$D:$D,'כל ההוצאות'!$B:$B,"Meta (Ads)",'כל ההוצאות'!$F:$F,"אוקטובר 2025")</f>
        <v/>
      </c>
      <c r="I20" s="44">
        <f>SUMIFS('כל ההוצאות'!$E:$E,'כל ההוצאות'!$B:$B,"Meta (Ads)",'כל ההוצאות'!$F:$F,"אוקטובר 2025")</f>
        <v/>
      </c>
      <c r="J20" s="43">
        <f>SUMIFS('כל ההוצאות'!$D:$D,'כל ההוצאות'!$B:$B,"Meta (Ads)",'כל ההוצאות'!$F:$F,"נובמבר 2025")</f>
        <v/>
      </c>
      <c r="K20" s="44">
        <f>SUMIFS('כל ההוצאות'!$E:$E,'כל ההוצאות'!$B:$B,"Meta (Ads)",'כל ההוצאות'!$F:$F,"נובמבר 2025")</f>
        <v/>
      </c>
      <c r="L20" s="43">
        <f>SUMIFS('כל ההוצאות'!$D:$D,'כל ההוצאות'!$B:$B,"Meta (Ads)",'כל ההוצאות'!$F:$F,"דצמבר 2025")</f>
        <v/>
      </c>
      <c r="M20" s="44">
        <f>SUMIFS('כל ההוצאות'!$E:$E,'כל ההוצאות'!$B:$B,"Meta (Ads)",'כל ההוצאות'!$F:$F,"דצמבר 2025")</f>
        <v/>
      </c>
      <c r="N20" s="43">
        <f>SUMIFS('כל ההוצאות'!$D:$D,'כל ההוצאות'!$B:$B,"Meta (Ads)",'כל ההוצאות'!$F:$F,"ינואר 2026")</f>
        <v/>
      </c>
      <c r="O20" s="44">
        <f>SUMIFS('כל ההוצאות'!$E:$E,'כל ההוצאות'!$B:$B,"Meta (Ads)",'כל ההוצאות'!$F:$F,"ינואר 2026")</f>
        <v/>
      </c>
      <c r="P20" s="43">
        <f>SUMIFS('כל ההוצאות'!$D:$D,'כל ההוצאות'!$B:$B,"Meta (Ads)",'כל ההוצאות'!$F:$F,"פברואר 2026")</f>
        <v/>
      </c>
      <c r="Q20" s="44">
        <f>SUMIFS('כל ההוצאות'!$E:$E,'כל ההוצאות'!$B:$B,"Meta (Ads)",'כל ההוצאות'!$F:$F,"פברואר 2026")</f>
        <v/>
      </c>
      <c r="R20" s="43">
        <f>SUMIFS('כל ההוצאות'!$D:$D,'כל ההוצאות'!$B:$B,"Meta (Ads)",'כל ההוצאות'!$F:$F,"מרץ 2026")</f>
        <v/>
      </c>
      <c r="S20" s="44">
        <f>SUMIFS('כל ההוצאות'!$E:$E,'כל ההוצאות'!$B:$B,"Meta (Ads)",'כל ההוצאות'!$F:$F,"מרץ 2026")</f>
        <v/>
      </c>
      <c r="T20" s="43">
        <f>SUMIFS('כל ההוצאות'!$D:$D,'כל ההוצאות'!$B:$B,"Meta (Ads)",'כל ההוצאות'!$F:$F,"אפריל 2026")</f>
        <v/>
      </c>
      <c r="U20" s="44">
        <f>SUMIFS('כל ההוצאות'!$E:$E,'כל ההוצאות'!$B:$B,"Meta (Ads)",'כל ההוצאות'!$F:$F,"אפריל 2026")</f>
        <v/>
      </c>
      <c r="V20" s="43">
        <f>SUMIFS('כל ההוצאות'!$D:$D,'כל ההוצאות'!$B:$B,"Meta (Ads)",'כל ההוצאות'!$F:$F,"מאי 2026")</f>
        <v/>
      </c>
      <c r="W20" s="44">
        <f>SUMIFS('כל ההוצאות'!$E:$E,'כל ההוצאות'!$B:$B,"Meta (Ads)",'כל ההוצאות'!$F:$F,"מאי 2026")</f>
        <v/>
      </c>
      <c r="X20" s="43">
        <f>SUMIFS('כל ההוצאות'!$D:$D,'כל ההוצאות'!$B:$B,"Meta (Ads)",'כל ההוצאות'!$F:$F,"יוני 2026")</f>
        <v/>
      </c>
      <c r="Y20" s="44">
        <f>SUMIFS('כל ההוצאות'!$E:$E,'כל ההוצאות'!$B:$B,"Meta (Ads)",'כל ההוצאות'!$F:$F,"יוני 2026")</f>
        <v/>
      </c>
      <c r="Z20" s="43">
        <f>SUMIFS('כל ההוצאות'!$D:$D,'כל ההוצאות'!$B:$B,"Meta (Ads)",'כל ההוצאות'!$F:$F,"יולי 2026")</f>
        <v/>
      </c>
      <c r="AA20" s="44">
        <f>SUMIFS('כל ההוצאות'!$E:$E,'כל ההוצאות'!$B:$B,"Meta (Ads)",'כל ההוצאות'!$F:$F,"יולי 2026")</f>
        <v/>
      </c>
      <c r="AB20" s="43">
        <f>SUMIFS('כל ההוצאות'!$D:$D,'כל ההוצאות'!$B:$B,"Meta (Ads)",'כל ההוצאות'!$F:$F,"אוגוסט 2026")</f>
        <v/>
      </c>
      <c r="AC20" s="44">
        <f>SUMIFS('כל ההוצאות'!$E:$E,'כל ההוצאות'!$B:$B,"Meta (Ads)",'כל ההוצאות'!$F:$F,"אוגוסט 2026")</f>
        <v/>
      </c>
      <c r="AD20" s="43">
        <f>SUMIFS('כל ההוצאות'!$D:$D,'כל ההוצאות'!$B:$B,"Meta (Ads)",'כל ההוצאות'!$F:$F,"ספטמבר 2026")</f>
        <v/>
      </c>
      <c r="AE20" s="44">
        <f>SUMIFS('כל ההוצאות'!$E:$E,'כל ההוצאות'!$B:$B,"Meta (Ads)",'כל ההוצאות'!$F:$F,"ספטמבר 2026")</f>
        <v/>
      </c>
      <c r="AF20" s="43">
        <f>SUMIFS('כל ההוצאות'!$D:$D,'כל ההוצאות'!$B:$B,"Meta (Ads)",'כל ההוצאות'!$F:$F,"אוקטובר 2026")</f>
        <v/>
      </c>
      <c r="AG20" s="44">
        <f>SUMIFS('כל ההוצאות'!$E:$E,'כל ההוצאות'!$B:$B,"Meta (Ads)",'כל ההוצאות'!$F:$F,"אוקטובר 2026")</f>
        <v/>
      </c>
      <c r="AH20" s="43">
        <f>SUMIFS('כל ההוצאות'!$D:$D,'כל ההוצאות'!$B:$B,"Meta (Ads)",'כל ההוצאות'!$F:$F,"נובמבר 2026")</f>
        <v/>
      </c>
      <c r="AI20" s="44">
        <f>SUMIFS('כל ההוצאות'!$E:$E,'כל ההוצאות'!$B:$B,"Meta (Ads)",'כל ההוצאות'!$F:$F,"נובמבר 2026")</f>
        <v/>
      </c>
      <c r="AJ20" s="43">
        <f>SUMIFS('כל ההוצאות'!$D:$D,'כל ההוצאות'!$B:$B,"Meta (Ads)",'כל ההוצאות'!$F:$F,"דצמבר 2026")</f>
        <v/>
      </c>
      <c r="AK20" s="44">
        <f>SUMIFS('כל ההוצאות'!$E:$E,'כל ההוצאות'!$B:$B,"Meta (Ads)",'כל ההוצאות'!$F:$F,"דצמבר 2026")</f>
        <v/>
      </c>
      <c r="AL20" s="40">
        <f>SUM(B20,D20,F20,H20,J20,L20,N20,P20,R20,T20,V20,X20,Z20,AB20,AD20,AF20,AH20,AJ20)</f>
        <v/>
      </c>
      <c r="AM20" s="41">
        <f>SUM(C20,E20,G20,I20,K20,M20,O20,Q20,S20,U20,W20,Y20,AA20,AC20,AE20,AG20,AI20,AK20)</f>
        <v/>
      </c>
    </row>
    <row r="21">
      <c r="A21" s="37" t="inlineStr">
        <is>
          <t>Recraft</t>
        </is>
      </c>
      <c r="B21" s="38">
        <f>SUMIFS('כל ההוצאות'!$D:$D,'כל ההוצאות'!$B:$B,"Recraft",'כל ההוצאות'!$F:$F,"יולי 2025")</f>
        <v/>
      </c>
      <c r="C21" s="39">
        <f>SUMIFS('כל ההוצאות'!$E:$E,'כל ההוצאות'!$B:$B,"Recraft",'כל ההוצאות'!$F:$F,"יולי 2025")</f>
        <v/>
      </c>
      <c r="D21" s="38">
        <f>SUMIFS('כל ההוצאות'!$D:$D,'כל ההוצאות'!$B:$B,"Recraft",'כל ההוצאות'!$F:$F,"אוגוסט 2025")</f>
        <v/>
      </c>
      <c r="E21" s="39">
        <f>SUMIFS('כל ההוצאות'!$E:$E,'כל ההוצאות'!$B:$B,"Recraft",'כל ההוצאות'!$F:$F,"אוגוסט 2025")</f>
        <v/>
      </c>
      <c r="F21" s="38">
        <f>SUMIFS('כל ההוצאות'!$D:$D,'כל ההוצאות'!$B:$B,"Recraft",'כל ההוצאות'!$F:$F,"ספטמבר 2025")</f>
        <v/>
      </c>
      <c r="G21" s="39">
        <f>SUMIFS('כל ההוצאות'!$E:$E,'כל ההוצאות'!$B:$B,"Recraft",'כל ההוצאות'!$F:$F,"ספטמבר 2025")</f>
        <v/>
      </c>
      <c r="H21" s="38">
        <f>SUMIFS('כל ההוצאות'!$D:$D,'כל ההוצאות'!$B:$B,"Recraft",'כל ההוצאות'!$F:$F,"אוקטובר 2025")</f>
        <v/>
      </c>
      <c r="I21" s="39">
        <f>SUMIFS('כל ההוצאות'!$E:$E,'כל ההוצאות'!$B:$B,"Recraft",'כל ההוצאות'!$F:$F,"אוקטובר 2025")</f>
        <v/>
      </c>
      <c r="J21" s="38">
        <f>SUMIFS('כל ההוצאות'!$D:$D,'כל ההוצאות'!$B:$B,"Recraft",'כל ההוצאות'!$F:$F,"נובמבר 2025")</f>
        <v/>
      </c>
      <c r="K21" s="39">
        <f>SUMIFS('כל ההוצאות'!$E:$E,'כל ההוצאות'!$B:$B,"Recraft",'כל ההוצאות'!$F:$F,"נובמבר 2025")</f>
        <v/>
      </c>
      <c r="L21" s="38">
        <f>SUMIFS('כל ההוצאות'!$D:$D,'כל ההוצאות'!$B:$B,"Recraft",'כל ההוצאות'!$F:$F,"דצמבר 2025")</f>
        <v/>
      </c>
      <c r="M21" s="39">
        <f>SUMIFS('כל ההוצאות'!$E:$E,'כל ההוצאות'!$B:$B,"Recraft",'כל ההוצאות'!$F:$F,"דצמבר 2025")</f>
        <v/>
      </c>
      <c r="N21" s="38">
        <f>SUMIFS('כל ההוצאות'!$D:$D,'כל ההוצאות'!$B:$B,"Recraft",'כל ההוצאות'!$F:$F,"ינואר 2026")</f>
        <v/>
      </c>
      <c r="O21" s="39">
        <f>SUMIFS('כל ההוצאות'!$E:$E,'כל ההוצאות'!$B:$B,"Recraft",'כל ההוצאות'!$F:$F,"ינואר 2026")</f>
        <v/>
      </c>
      <c r="P21" s="38">
        <f>SUMIFS('כל ההוצאות'!$D:$D,'כל ההוצאות'!$B:$B,"Recraft",'כל ההוצאות'!$F:$F,"פברואר 2026")</f>
        <v/>
      </c>
      <c r="Q21" s="39">
        <f>SUMIFS('כל ההוצאות'!$E:$E,'כל ההוצאות'!$B:$B,"Recraft",'כל ההוצאות'!$F:$F,"פברואר 2026")</f>
        <v/>
      </c>
      <c r="R21" s="38">
        <f>SUMIFS('כל ההוצאות'!$D:$D,'כל ההוצאות'!$B:$B,"Recraft",'כל ההוצאות'!$F:$F,"מרץ 2026")</f>
        <v/>
      </c>
      <c r="S21" s="39">
        <f>SUMIFS('כל ההוצאות'!$E:$E,'כל ההוצאות'!$B:$B,"Recraft",'כל ההוצאות'!$F:$F,"מרץ 2026")</f>
        <v/>
      </c>
      <c r="T21" s="38">
        <f>SUMIFS('כל ההוצאות'!$D:$D,'כל ההוצאות'!$B:$B,"Recraft",'כל ההוצאות'!$F:$F,"אפריל 2026")</f>
        <v/>
      </c>
      <c r="U21" s="39">
        <f>SUMIFS('כל ההוצאות'!$E:$E,'כל ההוצאות'!$B:$B,"Recraft",'כל ההוצאות'!$F:$F,"אפריל 2026")</f>
        <v/>
      </c>
      <c r="V21" s="38">
        <f>SUMIFS('כל ההוצאות'!$D:$D,'כל ההוצאות'!$B:$B,"Recraft",'כל ההוצאות'!$F:$F,"מאי 2026")</f>
        <v/>
      </c>
      <c r="W21" s="39">
        <f>SUMIFS('כל ההוצאות'!$E:$E,'כל ההוצאות'!$B:$B,"Recraft",'כל ההוצאות'!$F:$F,"מאי 2026")</f>
        <v/>
      </c>
      <c r="X21" s="38">
        <f>SUMIFS('כל ההוצאות'!$D:$D,'כל ההוצאות'!$B:$B,"Recraft",'כל ההוצאות'!$F:$F,"יוני 2026")</f>
        <v/>
      </c>
      <c r="Y21" s="39">
        <f>SUMIFS('כל ההוצאות'!$E:$E,'כל ההוצאות'!$B:$B,"Recraft",'כל ההוצאות'!$F:$F,"יוני 2026")</f>
        <v/>
      </c>
      <c r="Z21" s="38">
        <f>SUMIFS('כל ההוצאות'!$D:$D,'כל ההוצאות'!$B:$B,"Recraft",'כל ההוצאות'!$F:$F,"יולי 2026")</f>
        <v/>
      </c>
      <c r="AA21" s="39">
        <f>SUMIFS('כל ההוצאות'!$E:$E,'כל ההוצאות'!$B:$B,"Recraft",'כל ההוצאות'!$F:$F,"יולי 2026")</f>
        <v/>
      </c>
      <c r="AB21" s="38">
        <f>SUMIFS('כל ההוצאות'!$D:$D,'כל ההוצאות'!$B:$B,"Recraft",'כל ההוצאות'!$F:$F,"אוגוסט 2026")</f>
        <v/>
      </c>
      <c r="AC21" s="39">
        <f>SUMIFS('כל ההוצאות'!$E:$E,'כל ההוצאות'!$B:$B,"Recraft",'כל ההוצאות'!$F:$F,"אוגוסט 2026")</f>
        <v/>
      </c>
      <c r="AD21" s="38">
        <f>SUMIFS('כל ההוצאות'!$D:$D,'כל ההוצאות'!$B:$B,"Recraft",'כל ההוצאות'!$F:$F,"ספטמבר 2026")</f>
        <v/>
      </c>
      <c r="AE21" s="39">
        <f>SUMIFS('כל ההוצאות'!$E:$E,'כל ההוצאות'!$B:$B,"Recraft",'כל ההוצאות'!$F:$F,"ספטמבר 2026")</f>
        <v/>
      </c>
      <c r="AF21" s="38">
        <f>SUMIFS('כל ההוצאות'!$D:$D,'כל ההוצאות'!$B:$B,"Recraft",'כל ההוצאות'!$F:$F,"אוקטובר 2026")</f>
        <v/>
      </c>
      <c r="AG21" s="39">
        <f>SUMIFS('כל ההוצאות'!$E:$E,'כל ההוצאות'!$B:$B,"Recraft",'כל ההוצאות'!$F:$F,"אוקטובר 2026")</f>
        <v/>
      </c>
      <c r="AH21" s="38">
        <f>SUMIFS('כל ההוצאות'!$D:$D,'כל ההוצאות'!$B:$B,"Recraft",'כל ההוצאות'!$F:$F,"נובמבר 2026")</f>
        <v/>
      </c>
      <c r="AI21" s="39">
        <f>SUMIFS('כל ההוצאות'!$E:$E,'כל ההוצאות'!$B:$B,"Recraft",'כל ההוצאות'!$F:$F,"נובמבר 2026")</f>
        <v/>
      </c>
      <c r="AJ21" s="38">
        <f>SUMIFS('כל ההוצאות'!$D:$D,'כל ההוצאות'!$B:$B,"Recraft",'כל ההוצאות'!$F:$F,"דצמבר 2026")</f>
        <v/>
      </c>
      <c r="AK21" s="39">
        <f>SUMIFS('כל ההוצאות'!$E:$E,'כל ההוצאות'!$B:$B,"Recraft",'כל ההוצאות'!$F:$F,"דצמבר 2026")</f>
        <v/>
      </c>
      <c r="AL21" s="40">
        <f>SUM(B21,D21,F21,H21,J21,L21,N21,P21,R21,T21,V21,X21,Z21,AB21,AD21,AF21,AH21,AJ21)</f>
        <v/>
      </c>
      <c r="AM21" s="41">
        <f>SUM(C21,E21,G21,I21,K21,M21,O21,Q21,S21,U21,W21,Y21,AA21,AC21,AE21,AG21,AI21,AK21)</f>
        <v/>
      </c>
    </row>
    <row r="22">
      <c r="A22" s="42" t="inlineStr">
        <is>
          <t>Replicate</t>
        </is>
      </c>
      <c r="B22" s="43">
        <f>SUMIFS('כל ההוצאות'!$D:$D,'כל ההוצאות'!$B:$B,"Replicate",'כל ההוצאות'!$F:$F,"יולי 2025")</f>
        <v/>
      </c>
      <c r="C22" s="44">
        <f>SUMIFS('כל ההוצאות'!$E:$E,'כל ההוצאות'!$B:$B,"Replicate",'כל ההוצאות'!$F:$F,"יולי 2025")</f>
        <v/>
      </c>
      <c r="D22" s="43">
        <f>SUMIFS('כל ההוצאות'!$D:$D,'כל ההוצאות'!$B:$B,"Replicate",'כל ההוצאות'!$F:$F,"אוגוסט 2025")</f>
        <v/>
      </c>
      <c r="E22" s="44">
        <f>SUMIFS('כל ההוצאות'!$E:$E,'כל ההוצאות'!$B:$B,"Replicate",'כל ההוצאות'!$F:$F,"אוגוסט 2025")</f>
        <v/>
      </c>
      <c r="F22" s="43">
        <f>SUMIFS('כל ההוצאות'!$D:$D,'כל ההוצאות'!$B:$B,"Replicate",'כל ההוצאות'!$F:$F,"ספטמבר 2025")</f>
        <v/>
      </c>
      <c r="G22" s="44">
        <f>SUMIFS('כל ההוצאות'!$E:$E,'כל ההוצאות'!$B:$B,"Replicate",'כל ההוצאות'!$F:$F,"ספטמבר 2025")</f>
        <v/>
      </c>
      <c r="H22" s="43">
        <f>SUMIFS('כל ההוצאות'!$D:$D,'כל ההוצאות'!$B:$B,"Replicate",'כל ההוצאות'!$F:$F,"אוקטובר 2025")</f>
        <v/>
      </c>
      <c r="I22" s="44">
        <f>SUMIFS('כל ההוצאות'!$E:$E,'כל ההוצאות'!$B:$B,"Replicate",'כל ההוצאות'!$F:$F,"אוקטובר 2025")</f>
        <v/>
      </c>
      <c r="J22" s="43">
        <f>SUMIFS('כל ההוצאות'!$D:$D,'כל ההוצאות'!$B:$B,"Replicate",'כל ההוצאות'!$F:$F,"נובמבר 2025")</f>
        <v/>
      </c>
      <c r="K22" s="44">
        <f>SUMIFS('כל ההוצאות'!$E:$E,'כל ההוצאות'!$B:$B,"Replicate",'כל ההוצאות'!$F:$F,"נובמבר 2025")</f>
        <v/>
      </c>
      <c r="L22" s="43">
        <f>SUMIFS('כל ההוצאות'!$D:$D,'כל ההוצאות'!$B:$B,"Replicate",'כל ההוצאות'!$F:$F,"דצמבר 2025")</f>
        <v/>
      </c>
      <c r="M22" s="44">
        <f>SUMIFS('כל ההוצאות'!$E:$E,'כל ההוצאות'!$B:$B,"Replicate",'כל ההוצאות'!$F:$F,"דצמבר 2025")</f>
        <v/>
      </c>
      <c r="N22" s="43">
        <f>SUMIFS('כל ההוצאות'!$D:$D,'כל ההוצאות'!$B:$B,"Replicate",'כל ההוצאות'!$F:$F,"ינואר 2026")</f>
        <v/>
      </c>
      <c r="O22" s="44">
        <f>SUMIFS('כל ההוצאות'!$E:$E,'כל ההוצאות'!$B:$B,"Replicate",'כל ההוצאות'!$F:$F,"ינואר 2026")</f>
        <v/>
      </c>
      <c r="P22" s="43">
        <f>SUMIFS('כל ההוצאות'!$D:$D,'כל ההוצאות'!$B:$B,"Replicate",'כל ההוצאות'!$F:$F,"פברואר 2026")</f>
        <v/>
      </c>
      <c r="Q22" s="44">
        <f>SUMIFS('כל ההוצאות'!$E:$E,'כל ההוצאות'!$B:$B,"Replicate",'כל ההוצאות'!$F:$F,"פברואר 2026")</f>
        <v/>
      </c>
      <c r="R22" s="43">
        <f>SUMIFS('כל ההוצאות'!$D:$D,'כל ההוצאות'!$B:$B,"Replicate",'כל ההוצאות'!$F:$F,"מרץ 2026")</f>
        <v/>
      </c>
      <c r="S22" s="44">
        <f>SUMIFS('כל ההוצאות'!$E:$E,'כל ההוצאות'!$B:$B,"Replicate",'כל ההוצאות'!$F:$F,"מרץ 2026")</f>
        <v/>
      </c>
      <c r="T22" s="43">
        <f>SUMIFS('כל ההוצאות'!$D:$D,'כל ההוצאות'!$B:$B,"Replicate",'כל ההוצאות'!$F:$F,"אפריל 2026")</f>
        <v/>
      </c>
      <c r="U22" s="44">
        <f>SUMIFS('כל ההוצאות'!$E:$E,'כל ההוצאות'!$B:$B,"Replicate",'כל ההוצאות'!$F:$F,"אפריל 2026")</f>
        <v/>
      </c>
      <c r="V22" s="43">
        <f>SUMIFS('כל ההוצאות'!$D:$D,'כל ההוצאות'!$B:$B,"Replicate",'כל ההוצאות'!$F:$F,"מאי 2026")</f>
        <v/>
      </c>
      <c r="W22" s="44">
        <f>SUMIFS('כל ההוצאות'!$E:$E,'כל ההוצאות'!$B:$B,"Replicate",'כל ההוצאות'!$F:$F,"מאי 2026")</f>
        <v/>
      </c>
      <c r="X22" s="43">
        <f>SUMIFS('כל ההוצאות'!$D:$D,'כל ההוצאות'!$B:$B,"Replicate",'כל ההוצאות'!$F:$F,"יוני 2026")</f>
        <v/>
      </c>
      <c r="Y22" s="44">
        <f>SUMIFS('כל ההוצאות'!$E:$E,'כל ההוצאות'!$B:$B,"Replicate",'כל ההוצאות'!$F:$F,"יוני 2026")</f>
        <v/>
      </c>
      <c r="Z22" s="43">
        <f>SUMIFS('כל ההוצאות'!$D:$D,'כל ההוצאות'!$B:$B,"Replicate",'כל ההוצאות'!$F:$F,"יולי 2026")</f>
        <v/>
      </c>
      <c r="AA22" s="44">
        <f>SUMIFS('כל ההוצאות'!$E:$E,'כל ההוצאות'!$B:$B,"Replicate",'כל ההוצאות'!$F:$F,"יולי 2026")</f>
        <v/>
      </c>
      <c r="AB22" s="43">
        <f>SUMIFS('כל ההוצאות'!$D:$D,'כל ההוצאות'!$B:$B,"Replicate",'כל ההוצאות'!$F:$F,"אוגוסט 2026")</f>
        <v/>
      </c>
      <c r="AC22" s="44">
        <f>SUMIFS('כל ההוצאות'!$E:$E,'כל ההוצאות'!$B:$B,"Replicate",'כל ההוצאות'!$F:$F,"אוגוסט 2026")</f>
        <v/>
      </c>
      <c r="AD22" s="43">
        <f>SUMIFS('כל ההוצאות'!$D:$D,'כל ההוצאות'!$B:$B,"Replicate",'כל ההוצאות'!$F:$F,"ספטמבר 2026")</f>
        <v/>
      </c>
      <c r="AE22" s="44">
        <f>SUMIFS('כל ההוצאות'!$E:$E,'כל ההוצאות'!$B:$B,"Replicate",'כל ההוצאות'!$F:$F,"ספטמבר 2026")</f>
        <v/>
      </c>
      <c r="AF22" s="43">
        <f>SUMIFS('כל ההוצאות'!$D:$D,'כל ההוצאות'!$B:$B,"Replicate",'כל ההוצאות'!$F:$F,"אוקטובר 2026")</f>
        <v/>
      </c>
      <c r="AG22" s="44">
        <f>SUMIFS('כל ההוצאות'!$E:$E,'כל ההוצאות'!$B:$B,"Replicate",'כל ההוצאות'!$F:$F,"אוקטובר 2026")</f>
        <v/>
      </c>
      <c r="AH22" s="43">
        <f>SUMIFS('כל ההוצאות'!$D:$D,'כל ההוצאות'!$B:$B,"Replicate",'כל ההוצאות'!$F:$F,"נובמבר 2026")</f>
        <v/>
      </c>
      <c r="AI22" s="44">
        <f>SUMIFS('כל ההוצאות'!$E:$E,'כל ההוצאות'!$B:$B,"Replicate",'כל ההוצאות'!$F:$F,"נובמבר 2026")</f>
        <v/>
      </c>
      <c r="AJ22" s="43">
        <f>SUMIFS('כל ההוצאות'!$D:$D,'כל ההוצאות'!$B:$B,"Replicate",'כל ההוצאות'!$F:$F,"דצמבר 2026")</f>
        <v/>
      </c>
      <c r="AK22" s="44">
        <f>SUMIFS('כל ההוצאות'!$E:$E,'כל ההוצאות'!$B:$B,"Replicate",'כל ההוצאות'!$F:$F,"דצמבר 2026")</f>
        <v/>
      </c>
      <c r="AL22" s="40">
        <f>SUM(B22,D22,F22,H22,J22,L22,N22,P22,R22,T22,V22,X22,Z22,AB22,AD22,AF22,AH22,AJ22)</f>
        <v/>
      </c>
      <c r="AM22" s="41">
        <f>SUM(C22,E22,G22,I22,K22,M22,O22,Q22,S22,U22,W22,Y22,AA22,AC22,AE22,AG22,AI22,AK22)</f>
        <v/>
      </c>
    </row>
    <row r="23">
      <c r="A23" s="37" t="inlineStr">
        <is>
          <t>Runway ML</t>
        </is>
      </c>
      <c r="B23" s="38">
        <f>SUMIFS('כל ההוצאות'!$D:$D,'כל ההוצאות'!$B:$B,"Runway ML",'כל ההוצאות'!$F:$F,"יולי 2025")</f>
        <v/>
      </c>
      <c r="C23" s="39">
        <f>SUMIFS('כל ההוצאות'!$E:$E,'כל ההוצאות'!$B:$B,"Runway ML",'כל ההוצאות'!$F:$F,"יולי 2025")</f>
        <v/>
      </c>
      <c r="D23" s="38">
        <f>SUMIFS('כל ההוצאות'!$D:$D,'כל ההוצאות'!$B:$B,"Runway ML",'כל ההוצאות'!$F:$F,"אוגוסט 2025")</f>
        <v/>
      </c>
      <c r="E23" s="39">
        <f>SUMIFS('כל ההוצאות'!$E:$E,'כל ההוצאות'!$B:$B,"Runway ML",'כל ההוצאות'!$F:$F,"אוגוסט 2025")</f>
        <v/>
      </c>
      <c r="F23" s="38">
        <f>SUMIFS('כל ההוצאות'!$D:$D,'כל ההוצאות'!$B:$B,"Runway ML",'כל ההוצאות'!$F:$F,"ספטמבר 2025")</f>
        <v/>
      </c>
      <c r="G23" s="39">
        <f>SUMIFS('כל ההוצאות'!$E:$E,'כל ההוצאות'!$B:$B,"Runway ML",'כל ההוצאות'!$F:$F,"ספטמבר 2025")</f>
        <v/>
      </c>
      <c r="H23" s="38">
        <f>SUMIFS('כל ההוצאות'!$D:$D,'כל ההוצאות'!$B:$B,"Runway ML",'כל ההוצאות'!$F:$F,"אוקטובר 2025")</f>
        <v/>
      </c>
      <c r="I23" s="39">
        <f>SUMIFS('כל ההוצאות'!$E:$E,'כל ההוצאות'!$B:$B,"Runway ML",'כל ההוצאות'!$F:$F,"אוקטובר 2025")</f>
        <v/>
      </c>
      <c r="J23" s="38">
        <f>SUMIFS('כל ההוצאות'!$D:$D,'כל ההוצאות'!$B:$B,"Runway ML",'כל ההוצאות'!$F:$F,"נובמבר 2025")</f>
        <v/>
      </c>
      <c r="K23" s="39">
        <f>SUMIFS('כל ההוצאות'!$E:$E,'כל ההוצאות'!$B:$B,"Runway ML",'כל ההוצאות'!$F:$F,"נובמבר 2025")</f>
        <v/>
      </c>
      <c r="L23" s="38">
        <f>SUMIFS('כל ההוצאות'!$D:$D,'כל ההוצאות'!$B:$B,"Runway ML",'כל ההוצאות'!$F:$F,"דצמבר 2025")</f>
        <v/>
      </c>
      <c r="M23" s="39">
        <f>SUMIFS('כל ההוצאות'!$E:$E,'כל ההוצאות'!$B:$B,"Runway ML",'כל ההוצאות'!$F:$F,"דצמבר 2025")</f>
        <v/>
      </c>
      <c r="N23" s="38">
        <f>SUMIFS('כל ההוצאות'!$D:$D,'כל ההוצאות'!$B:$B,"Runway ML",'כל ההוצאות'!$F:$F,"ינואר 2026")</f>
        <v/>
      </c>
      <c r="O23" s="39">
        <f>SUMIFS('כל ההוצאות'!$E:$E,'כל ההוצאות'!$B:$B,"Runway ML",'כל ההוצאות'!$F:$F,"ינואר 2026")</f>
        <v/>
      </c>
      <c r="P23" s="38">
        <f>SUMIFS('כל ההוצאות'!$D:$D,'כל ההוצאות'!$B:$B,"Runway ML",'כל ההוצאות'!$F:$F,"פברואר 2026")</f>
        <v/>
      </c>
      <c r="Q23" s="39">
        <f>SUMIFS('כל ההוצאות'!$E:$E,'כל ההוצאות'!$B:$B,"Runway ML",'כל ההוצאות'!$F:$F,"פברואר 2026")</f>
        <v/>
      </c>
      <c r="R23" s="38">
        <f>SUMIFS('כל ההוצאות'!$D:$D,'כל ההוצאות'!$B:$B,"Runway ML",'כל ההוצאות'!$F:$F,"מרץ 2026")</f>
        <v/>
      </c>
      <c r="S23" s="39">
        <f>SUMIFS('כל ההוצאות'!$E:$E,'כל ההוצאות'!$B:$B,"Runway ML",'כל ההוצאות'!$F:$F,"מרץ 2026")</f>
        <v/>
      </c>
      <c r="T23" s="38">
        <f>SUMIFS('כל ההוצאות'!$D:$D,'כל ההוצאות'!$B:$B,"Runway ML",'כל ההוצאות'!$F:$F,"אפריל 2026")</f>
        <v/>
      </c>
      <c r="U23" s="39">
        <f>SUMIFS('כל ההוצאות'!$E:$E,'כל ההוצאות'!$B:$B,"Runway ML",'כל ההוצאות'!$F:$F,"אפריל 2026")</f>
        <v/>
      </c>
      <c r="V23" s="38">
        <f>SUMIFS('כל ההוצאות'!$D:$D,'כל ההוצאות'!$B:$B,"Runway ML",'כל ההוצאות'!$F:$F,"מאי 2026")</f>
        <v/>
      </c>
      <c r="W23" s="39">
        <f>SUMIFS('כל ההוצאות'!$E:$E,'כל ההוצאות'!$B:$B,"Runway ML",'כל ההוצאות'!$F:$F,"מאי 2026")</f>
        <v/>
      </c>
      <c r="X23" s="38">
        <f>SUMIFS('כל ההוצאות'!$D:$D,'כל ההוצאות'!$B:$B,"Runway ML",'כל ההוצאות'!$F:$F,"יוני 2026")</f>
        <v/>
      </c>
      <c r="Y23" s="39">
        <f>SUMIFS('כל ההוצאות'!$E:$E,'כל ההוצאות'!$B:$B,"Runway ML",'כל ההוצאות'!$F:$F,"יוני 2026")</f>
        <v/>
      </c>
      <c r="Z23" s="38">
        <f>SUMIFS('כל ההוצאות'!$D:$D,'כל ההוצאות'!$B:$B,"Runway ML",'כל ההוצאות'!$F:$F,"יולי 2026")</f>
        <v/>
      </c>
      <c r="AA23" s="39">
        <f>SUMIFS('כל ההוצאות'!$E:$E,'כל ההוצאות'!$B:$B,"Runway ML",'כל ההוצאות'!$F:$F,"יולי 2026")</f>
        <v/>
      </c>
      <c r="AB23" s="38">
        <f>SUMIFS('כל ההוצאות'!$D:$D,'כל ההוצאות'!$B:$B,"Runway ML",'כל ההוצאות'!$F:$F,"אוגוסט 2026")</f>
        <v/>
      </c>
      <c r="AC23" s="39">
        <f>SUMIFS('כל ההוצאות'!$E:$E,'כל ההוצאות'!$B:$B,"Runway ML",'כל ההוצאות'!$F:$F,"אוגוסט 2026")</f>
        <v/>
      </c>
      <c r="AD23" s="38">
        <f>SUMIFS('כל ההוצאות'!$D:$D,'כל ההוצאות'!$B:$B,"Runway ML",'כל ההוצאות'!$F:$F,"ספטמבר 2026")</f>
        <v/>
      </c>
      <c r="AE23" s="39">
        <f>SUMIFS('כל ההוצאות'!$E:$E,'כל ההוצאות'!$B:$B,"Runway ML",'כל ההוצאות'!$F:$F,"ספטמבר 2026")</f>
        <v/>
      </c>
      <c r="AF23" s="38">
        <f>SUMIFS('כל ההוצאות'!$D:$D,'כל ההוצאות'!$B:$B,"Runway ML",'כל ההוצאות'!$F:$F,"אוקטובר 2026")</f>
        <v/>
      </c>
      <c r="AG23" s="39">
        <f>SUMIFS('כל ההוצאות'!$E:$E,'כל ההוצאות'!$B:$B,"Runway ML",'כל ההוצאות'!$F:$F,"אוקטובר 2026")</f>
        <v/>
      </c>
      <c r="AH23" s="38">
        <f>SUMIFS('כל ההוצאות'!$D:$D,'כל ההוצאות'!$B:$B,"Runway ML",'כל ההוצאות'!$F:$F,"נובמבר 2026")</f>
        <v/>
      </c>
      <c r="AI23" s="39">
        <f>SUMIFS('כל ההוצאות'!$E:$E,'כל ההוצאות'!$B:$B,"Runway ML",'כל ההוצאות'!$F:$F,"נובמבר 2026")</f>
        <v/>
      </c>
      <c r="AJ23" s="38">
        <f>SUMIFS('כל ההוצאות'!$D:$D,'כל ההוצאות'!$B:$B,"Runway ML",'כל ההוצאות'!$F:$F,"דצמבר 2026")</f>
        <v/>
      </c>
      <c r="AK23" s="39">
        <f>SUMIFS('כל ההוצאות'!$E:$E,'כל ההוצאות'!$B:$B,"Runway ML",'כל ההוצאות'!$F:$F,"דצמבר 2026")</f>
        <v/>
      </c>
      <c r="AL23" s="40">
        <f>SUM(B23,D23,F23,H23,J23,L23,N23,P23,R23,T23,V23,X23,Z23,AB23,AD23,AF23,AH23,AJ23)</f>
        <v/>
      </c>
      <c r="AM23" s="41">
        <f>SUM(C23,E23,G23,I23,K23,M23,O23,Q23,S23,U23,W23,Y23,AA23,AC23,AE23,AG23,AI23,AK23)</f>
        <v/>
      </c>
    </row>
    <row r="24">
      <c r="A24" s="42" t="inlineStr">
        <is>
          <t>Timeless</t>
        </is>
      </c>
      <c r="B24" s="43">
        <f>SUMIFS('כל ההוצאות'!$D:$D,'כל ההוצאות'!$B:$B,"Timeless",'כל ההוצאות'!$F:$F,"יולי 2025")</f>
        <v/>
      </c>
      <c r="C24" s="44">
        <f>SUMIFS('כל ההוצאות'!$E:$E,'כל ההוצאות'!$B:$B,"Timeless",'כל ההוצאות'!$F:$F,"יולי 2025")</f>
        <v/>
      </c>
      <c r="D24" s="43">
        <f>SUMIFS('כל ההוצאות'!$D:$D,'כל ההוצאות'!$B:$B,"Timeless",'כל ההוצאות'!$F:$F,"אוגוסט 2025")</f>
        <v/>
      </c>
      <c r="E24" s="44">
        <f>SUMIFS('כל ההוצאות'!$E:$E,'כל ההוצאות'!$B:$B,"Timeless",'כל ההוצאות'!$F:$F,"אוגוסט 2025")</f>
        <v/>
      </c>
      <c r="F24" s="43">
        <f>SUMIFS('כל ההוצאות'!$D:$D,'כל ההוצאות'!$B:$B,"Timeless",'כל ההוצאות'!$F:$F,"ספטמבר 2025")</f>
        <v/>
      </c>
      <c r="G24" s="44">
        <f>SUMIFS('כל ההוצאות'!$E:$E,'כל ההוצאות'!$B:$B,"Timeless",'כל ההוצאות'!$F:$F,"ספטמבר 2025")</f>
        <v/>
      </c>
      <c r="H24" s="43">
        <f>SUMIFS('כל ההוצאות'!$D:$D,'כל ההוצאות'!$B:$B,"Timeless",'כל ההוצאות'!$F:$F,"אוקטובר 2025")</f>
        <v/>
      </c>
      <c r="I24" s="44">
        <f>SUMIFS('כל ההוצאות'!$E:$E,'כל ההוצאות'!$B:$B,"Timeless",'כל ההוצאות'!$F:$F,"אוקטובר 2025")</f>
        <v/>
      </c>
      <c r="J24" s="43">
        <f>SUMIFS('כל ההוצאות'!$D:$D,'כל ההוצאות'!$B:$B,"Timeless",'כל ההוצאות'!$F:$F,"נובמבר 2025")</f>
        <v/>
      </c>
      <c r="K24" s="44">
        <f>SUMIFS('כל ההוצאות'!$E:$E,'כל ההוצאות'!$B:$B,"Timeless",'כל ההוצאות'!$F:$F,"נובמבר 2025")</f>
        <v/>
      </c>
      <c r="L24" s="43">
        <f>SUMIFS('כל ההוצאות'!$D:$D,'כל ההוצאות'!$B:$B,"Timeless",'כל ההוצאות'!$F:$F,"דצמבר 2025")</f>
        <v/>
      </c>
      <c r="M24" s="44">
        <f>SUMIFS('כל ההוצאות'!$E:$E,'כל ההוצאות'!$B:$B,"Timeless",'כל ההוצאות'!$F:$F,"דצמבר 2025")</f>
        <v/>
      </c>
      <c r="N24" s="43">
        <f>SUMIFS('כל ההוצאות'!$D:$D,'כל ההוצאות'!$B:$B,"Timeless",'כל ההוצאות'!$F:$F,"ינואר 2026")</f>
        <v/>
      </c>
      <c r="O24" s="44">
        <f>SUMIFS('כל ההוצאות'!$E:$E,'כל ההוצאות'!$B:$B,"Timeless",'כל ההוצאות'!$F:$F,"ינואר 2026")</f>
        <v/>
      </c>
      <c r="P24" s="43">
        <f>SUMIFS('כל ההוצאות'!$D:$D,'כל ההוצאות'!$B:$B,"Timeless",'כל ההוצאות'!$F:$F,"פברואר 2026")</f>
        <v/>
      </c>
      <c r="Q24" s="44">
        <f>SUMIFS('כל ההוצאות'!$E:$E,'כל ההוצאות'!$B:$B,"Timeless",'כל ההוצאות'!$F:$F,"פברואר 2026")</f>
        <v/>
      </c>
      <c r="R24" s="43">
        <f>SUMIFS('כל ההוצאות'!$D:$D,'כל ההוצאות'!$B:$B,"Timeless",'כל ההוצאות'!$F:$F,"מרץ 2026")</f>
        <v/>
      </c>
      <c r="S24" s="44">
        <f>SUMIFS('כל ההוצאות'!$E:$E,'כל ההוצאות'!$B:$B,"Timeless",'כל ההוצאות'!$F:$F,"מרץ 2026")</f>
        <v/>
      </c>
      <c r="T24" s="43">
        <f>SUMIFS('כל ההוצאות'!$D:$D,'כל ההוצאות'!$B:$B,"Timeless",'כל ההוצאות'!$F:$F,"אפריל 2026")</f>
        <v/>
      </c>
      <c r="U24" s="44">
        <f>SUMIFS('כל ההוצאות'!$E:$E,'כל ההוצאות'!$B:$B,"Timeless",'כל ההוצאות'!$F:$F,"אפריל 2026")</f>
        <v/>
      </c>
      <c r="V24" s="43">
        <f>SUMIFS('כל ההוצאות'!$D:$D,'כל ההוצאות'!$B:$B,"Timeless",'כל ההוצאות'!$F:$F,"מאי 2026")</f>
        <v/>
      </c>
      <c r="W24" s="44">
        <f>SUMIFS('כל ההוצאות'!$E:$E,'כל ההוצאות'!$B:$B,"Timeless",'כל ההוצאות'!$F:$F,"מאי 2026")</f>
        <v/>
      </c>
      <c r="X24" s="43">
        <f>SUMIFS('כל ההוצאות'!$D:$D,'כל ההוצאות'!$B:$B,"Timeless",'כל ההוצאות'!$F:$F,"יוני 2026")</f>
        <v/>
      </c>
      <c r="Y24" s="44">
        <f>SUMIFS('כל ההוצאות'!$E:$E,'כל ההוצאות'!$B:$B,"Timeless",'כל ההוצאות'!$F:$F,"יוני 2026")</f>
        <v/>
      </c>
      <c r="Z24" s="43">
        <f>SUMIFS('כל ההוצאות'!$D:$D,'כל ההוצאות'!$B:$B,"Timeless",'כל ההוצאות'!$F:$F,"יולי 2026")</f>
        <v/>
      </c>
      <c r="AA24" s="44">
        <f>SUMIFS('כל ההוצאות'!$E:$E,'כל ההוצאות'!$B:$B,"Timeless",'כל ההוצאות'!$F:$F,"יולי 2026")</f>
        <v/>
      </c>
      <c r="AB24" s="43">
        <f>SUMIFS('כל ההוצאות'!$D:$D,'כל ההוצאות'!$B:$B,"Timeless",'כל ההוצאות'!$F:$F,"אוגוסט 2026")</f>
        <v/>
      </c>
      <c r="AC24" s="44">
        <f>SUMIFS('כל ההוצאות'!$E:$E,'כל ההוצאות'!$B:$B,"Timeless",'כל ההוצאות'!$F:$F,"אוגוסט 2026")</f>
        <v/>
      </c>
      <c r="AD24" s="43">
        <f>SUMIFS('כל ההוצאות'!$D:$D,'כל ההוצאות'!$B:$B,"Timeless",'כל ההוצאות'!$F:$F,"ספטמבר 2026")</f>
        <v/>
      </c>
      <c r="AE24" s="44">
        <f>SUMIFS('כל ההוצאות'!$E:$E,'כל ההוצאות'!$B:$B,"Timeless",'כל ההוצאות'!$F:$F,"ספטמבר 2026")</f>
        <v/>
      </c>
      <c r="AF24" s="43">
        <f>SUMIFS('כל ההוצאות'!$D:$D,'כל ההוצאות'!$B:$B,"Timeless",'כל ההוצאות'!$F:$F,"אוקטובר 2026")</f>
        <v/>
      </c>
      <c r="AG24" s="44">
        <f>SUMIFS('כל ההוצאות'!$E:$E,'כל ההוצאות'!$B:$B,"Timeless",'כל ההוצאות'!$F:$F,"אוקטובר 2026")</f>
        <v/>
      </c>
      <c r="AH24" s="43">
        <f>SUMIFS('כל ההוצאות'!$D:$D,'כל ההוצאות'!$B:$B,"Timeless",'כל ההוצאות'!$F:$F,"נובמבר 2026")</f>
        <v/>
      </c>
      <c r="AI24" s="44">
        <f>SUMIFS('כל ההוצאות'!$E:$E,'כל ההוצאות'!$B:$B,"Timeless",'כל ההוצאות'!$F:$F,"נובמבר 2026")</f>
        <v/>
      </c>
      <c r="AJ24" s="43">
        <f>SUMIFS('כל ההוצאות'!$D:$D,'כל ההוצאות'!$B:$B,"Timeless",'כל ההוצאות'!$F:$F,"דצמבר 2026")</f>
        <v/>
      </c>
      <c r="AK24" s="44">
        <f>SUMIFS('כל ההוצאות'!$E:$E,'כל ההוצאות'!$B:$B,"Timeless",'כל ההוצאות'!$F:$F,"דצמבר 2026")</f>
        <v/>
      </c>
      <c r="AL24" s="40">
        <f>SUM(B24,D24,F24,H24,J24,L24,N24,P24,R24,T24,V24,X24,Z24,AB24,AD24,AF24,AH24,AJ24)</f>
        <v/>
      </c>
      <c r="AM24" s="41">
        <f>SUM(C24,E24,G24,I24,K24,M24,O24,Q24,S24,U24,W24,Y24,AA24,AC24,AE24,AG24,AI24,AK24)</f>
        <v/>
      </c>
    </row>
    <row r="25" ht="24" customHeight="1">
      <c r="A25" s="30" t="inlineStr">
        <is>
          <t>סה"כ חודשי</t>
        </is>
      </c>
      <c r="B25" s="20">
        <f>SUM(B5:B24)</f>
        <v/>
      </c>
      <c r="C25" s="21">
        <f>SUM(C5:C24)</f>
        <v/>
      </c>
      <c r="D25" s="20">
        <f>SUM(D5:D24)</f>
        <v/>
      </c>
      <c r="E25" s="21">
        <f>SUM(E5:E24)</f>
        <v/>
      </c>
      <c r="F25" s="20">
        <f>SUM(F5:F24)</f>
        <v/>
      </c>
      <c r="G25" s="21">
        <f>SUM(G5:G24)</f>
        <v/>
      </c>
      <c r="H25" s="20">
        <f>SUM(H5:H24)</f>
        <v/>
      </c>
      <c r="I25" s="21">
        <f>SUM(I5:I24)</f>
        <v/>
      </c>
      <c r="J25" s="20">
        <f>SUM(J5:J24)</f>
        <v/>
      </c>
      <c r="K25" s="21">
        <f>SUM(K5:K24)</f>
        <v/>
      </c>
      <c r="L25" s="20">
        <f>SUM(L5:L24)</f>
        <v/>
      </c>
      <c r="M25" s="21">
        <f>SUM(M5:M24)</f>
        <v/>
      </c>
      <c r="N25" s="20">
        <f>SUM(N5:N24)</f>
        <v/>
      </c>
      <c r="O25" s="21">
        <f>SUM(O5:O24)</f>
        <v/>
      </c>
      <c r="P25" s="20">
        <f>SUM(P5:P24)</f>
        <v/>
      </c>
      <c r="Q25" s="21">
        <f>SUM(Q5:Q24)</f>
        <v/>
      </c>
      <c r="R25" s="20">
        <f>SUM(R5:R24)</f>
        <v/>
      </c>
      <c r="S25" s="21">
        <f>SUM(S5:S24)</f>
        <v/>
      </c>
      <c r="T25" s="20">
        <f>SUM(T5:T24)</f>
        <v/>
      </c>
      <c r="U25" s="21">
        <f>SUM(U5:U24)</f>
        <v/>
      </c>
      <c r="V25" s="20">
        <f>SUM(V5:V24)</f>
        <v/>
      </c>
      <c r="W25" s="21">
        <f>SUM(W5:W24)</f>
        <v/>
      </c>
      <c r="X25" s="20">
        <f>SUM(X5:X24)</f>
        <v/>
      </c>
      <c r="Y25" s="21">
        <f>SUM(Y5:Y24)</f>
        <v/>
      </c>
      <c r="Z25" s="20">
        <f>SUM(Z5:Z24)</f>
        <v/>
      </c>
      <c r="AA25" s="21">
        <f>SUM(AA5:AA24)</f>
        <v/>
      </c>
      <c r="AB25" s="20">
        <f>SUM(AB5:AB24)</f>
        <v/>
      </c>
      <c r="AC25" s="21">
        <f>SUM(AC5:AC24)</f>
        <v/>
      </c>
      <c r="AD25" s="20">
        <f>SUM(AD5:AD24)</f>
        <v/>
      </c>
      <c r="AE25" s="21">
        <f>SUM(AE5:AE24)</f>
        <v/>
      </c>
      <c r="AF25" s="20">
        <f>SUM(AF5:AF24)</f>
        <v/>
      </c>
      <c r="AG25" s="21">
        <f>SUM(AG5:AG24)</f>
        <v/>
      </c>
      <c r="AH25" s="20">
        <f>SUM(AH5:AH24)</f>
        <v/>
      </c>
      <c r="AI25" s="21">
        <f>SUM(AI5:AI24)</f>
        <v/>
      </c>
      <c r="AJ25" s="20">
        <f>SUM(AJ5:AJ24)</f>
        <v/>
      </c>
      <c r="AK25" s="21">
        <f>SUM(AK5:AK24)</f>
        <v/>
      </c>
      <c r="AL25" s="45">
        <f>SUM(AL5:AL24)</f>
        <v/>
      </c>
      <c r="AM25" s="46">
        <f>SUM(AM5:AM24)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7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8" t="inlineStr">
        <is>
          <t>יולי 2025</t>
        </is>
      </c>
      <c r="B4" s="15" t="inlineStr">
        <is>
          <t>July 2025</t>
        </is>
      </c>
      <c r="C4" s="49">
        <f>SUMIF('כל ההוצאות'!$F:$F,"יולי 2025",'כל ההוצאות'!$D:$D)</f>
        <v/>
      </c>
      <c r="D4" s="50">
        <f>SUMIF('כל ההוצאות'!$F:$F,"יולי 2025",'כל ההוצאות'!$E:$E)</f>
        <v/>
      </c>
      <c r="E4" s="51">
        <f>IF(C23&gt;0,C4/C23,0)</f>
        <v/>
      </c>
      <c r="F4" s="24" t="n"/>
    </row>
    <row r="5" ht="20" customHeight="1">
      <c r="A5" s="52" t="inlineStr">
        <is>
          <t>אוגוסט 2025</t>
        </is>
      </c>
      <c r="B5" s="11" t="inlineStr">
        <is>
          <t>August 2025</t>
        </is>
      </c>
      <c r="C5" s="53">
        <f>SUMIF('כל ההוצאות'!$F:$F,"אוגוסט 2025",'כל ההוצאות'!$D:$D)</f>
        <v/>
      </c>
      <c r="D5" s="54">
        <f>SUMIF('כל ההוצאות'!$F:$F,"אוגוסט 2025",'כל ההוצאות'!$E:$E)</f>
        <v/>
      </c>
      <c r="E5" s="55">
        <f>IF(C23&gt;0,C5/C23,0)</f>
        <v/>
      </c>
      <c r="F5" s="29" t="n"/>
    </row>
    <row r="6" ht="20" customHeight="1">
      <c r="A6" s="48" t="inlineStr">
        <is>
          <t>ספטמבר 2025</t>
        </is>
      </c>
      <c r="B6" s="15" t="inlineStr">
        <is>
          <t>September 2025</t>
        </is>
      </c>
      <c r="C6" s="49">
        <f>SUMIF('כל ההוצאות'!$F:$F,"ספטמבר 2025",'כל ההוצאות'!$D:$D)</f>
        <v/>
      </c>
      <c r="D6" s="50">
        <f>SUMIF('כל ההוצאות'!$F:$F,"ספטמבר 2025",'כל ההוצאות'!$E:$E)</f>
        <v/>
      </c>
      <c r="E6" s="51">
        <f>IF(C23&gt;0,C6/C23,0)</f>
        <v/>
      </c>
      <c r="F6" s="24" t="n"/>
    </row>
    <row r="7" ht="20" customHeight="1">
      <c r="A7" s="52" t="inlineStr">
        <is>
          <t>אוקטובר 2025</t>
        </is>
      </c>
      <c r="B7" s="11" t="inlineStr">
        <is>
          <t>October 2025</t>
        </is>
      </c>
      <c r="C7" s="53">
        <f>SUMIF('כל ההוצאות'!$F:$F,"אוקטובר 2025",'כל ההוצאות'!$D:$D)</f>
        <v/>
      </c>
      <c r="D7" s="54">
        <f>SUMIF('כל ההוצאות'!$F:$F,"אוקטובר 2025",'כל ההוצאות'!$E:$E)</f>
        <v/>
      </c>
      <c r="E7" s="55">
        <f>IF(C23&gt;0,C7/C23,0)</f>
        <v/>
      </c>
      <c r="F7" s="29" t="n"/>
    </row>
    <row r="8" ht="20" customHeight="1">
      <c r="A8" s="48" t="inlineStr">
        <is>
          <t>נובמבר 2025</t>
        </is>
      </c>
      <c r="B8" s="15" t="inlineStr">
        <is>
          <t>November 2025</t>
        </is>
      </c>
      <c r="C8" s="49">
        <f>SUMIF('כל ההוצאות'!$F:$F,"נובמבר 2025",'כל ההוצאות'!$D:$D)</f>
        <v/>
      </c>
      <c r="D8" s="50">
        <f>SUMIF('כל ההוצאות'!$F:$F,"נובמבר 2025",'כל ההוצאות'!$E:$E)</f>
        <v/>
      </c>
      <c r="E8" s="51">
        <f>IF(C23&gt;0,C8/C23,0)</f>
        <v/>
      </c>
      <c r="F8" s="24" t="n"/>
    </row>
    <row r="9" ht="20" customHeight="1">
      <c r="A9" s="52" t="inlineStr">
        <is>
          <t>דצמבר 2025</t>
        </is>
      </c>
      <c r="B9" s="11" t="inlineStr">
        <is>
          <t>December 2025</t>
        </is>
      </c>
      <c r="C9" s="53">
        <f>SUMIF('כל ההוצאות'!$F:$F,"דצמבר 2025",'כל ההוצאות'!$D:$D)</f>
        <v/>
      </c>
      <c r="D9" s="54">
        <f>SUMIF('כל ההוצאות'!$F:$F,"דצמבר 2025",'כל ההוצאות'!$E:$E)</f>
        <v/>
      </c>
      <c r="E9" s="55">
        <f>IF(C23&gt;0,C9/C23,0)</f>
        <v/>
      </c>
      <c r="F9" s="29" t="n"/>
    </row>
    <row r="10" ht="20" customHeight="1">
      <c r="A10" s="48" t="inlineStr">
        <is>
          <t>ינואר 2026</t>
        </is>
      </c>
      <c r="B10" s="15" t="inlineStr">
        <is>
          <t>January 2026</t>
        </is>
      </c>
      <c r="C10" s="49">
        <f>SUMIF('כל ההוצאות'!$F:$F,"ינואר 2026",'כל ההוצאות'!$D:$D)</f>
        <v/>
      </c>
      <c r="D10" s="50">
        <f>SUMIF('כל ההוצאות'!$F:$F,"ינואר 2026",'כל ההוצאות'!$E:$E)</f>
        <v/>
      </c>
      <c r="E10" s="51">
        <f>IF(C23&gt;0,C10/C23,0)</f>
        <v/>
      </c>
      <c r="F10" s="24" t="n"/>
    </row>
    <row r="11" ht="20" customHeight="1">
      <c r="A11" s="52" t="inlineStr">
        <is>
          <t>פברואר 2026</t>
        </is>
      </c>
      <c r="B11" s="11" t="inlineStr">
        <is>
          <t>February 2026</t>
        </is>
      </c>
      <c r="C11" s="53">
        <f>SUMIF('כל ההוצאות'!$F:$F,"פברואר 2026",'כל ההוצאות'!$D:$D)</f>
        <v/>
      </c>
      <c r="D11" s="54">
        <f>SUMIF('כל ההוצאות'!$F:$F,"פברואר 2026",'כל ההוצאות'!$E:$E)</f>
        <v/>
      </c>
      <c r="E11" s="55">
        <f>IF(C23&gt;0,C11/C23,0)</f>
        <v/>
      </c>
      <c r="F11" s="29" t="n"/>
    </row>
    <row r="12" ht="20" customHeight="1">
      <c r="A12" s="48" t="inlineStr">
        <is>
          <t>מרץ 2026</t>
        </is>
      </c>
      <c r="B12" s="15" t="inlineStr">
        <is>
          <t>March 2026</t>
        </is>
      </c>
      <c r="C12" s="49">
        <f>SUMIF('כל ההוצאות'!$F:$F,"מרץ 2026",'כל ההוצאות'!$D:$D)</f>
        <v/>
      </c>
      <c r="D12" s="50">
        <f>SUMIF('כל ההוצאות'!$F:$F,"מרץ 2026",'כל ההוצאות'!$E:$E)</f>
        <v/>
      </c>
      <c r="E12" s="51">
        <f>IF(C23&gt;0,C12/C23,0)</f>
        <v/>
      </c>
      <c r="F12" s="24" t="n"/>
    </row>
    <row r="13" ht="20" customHeight="1">
      <c r="A13" s="52" t="inlineStr">
        <is>
          <t>אפריל 2026</t>
        </is>
      </c>
      <c r="B13" s="11" t="inlineStr">
        <is>
          <t>April 2026</t>
        </is>
      </c>
      <c r="C13" s="53">
        <f>SUMIF('כל ההוצאות'!$F:$F,"אפריל 2026",'כל ההוצאות'!$D:$D)</f>
        <v/>
      </c>
      <c r="D13" s="54">
        <f>SUMIF('כל ההוצאות'!$F:$F,"אפריל 2026",'כל ההוצאות'!$E:$E)</f>
        <v/>
      </c>
      <c r="E13" s="55">
        <f>IF(C23&gt;0,C13/C23,0)</f>
        <v/>
      </c>
      <c r="F13" s="29" t="n"/>
    </row>
    <row r="14" ht="20" customHeight="1">
      <c r="A14" s="48" t="inlineStr">
        <is>
          <t>מאי 2026</t>
        </is>
      </c>
      <c r="B14" s="15" t="inlineStr">
        <is>
          <t>May 2026</t>
        </is>
      </c>
      <c r="C14" s="49">
        <f>SUMIF('כל ההוצאות'!$F:$F,"מאי 2026",'כל ההוצאות'!$D:$D)</f>
        <v/>
      </c>
      <c r="D14" s="50">
        <f>SUMIF('כל ההוצאות'!$F:$F,"מאי 2026",'כל ההוצאות'!$E:$E)</f>
        <v/>
      </c>
      <c r="E14" s="51">
        <f>IF(C23&gt;0,C14/C23,0)</f>
        <v/>
      </c>
      <c r="F14" s="24" t="n"/>
    </row>
    <row r="15" ht="20" customHeight="1">
      <c r="A15" s="52" t="inlineStr">
        <is>
          <t>יוני 2026</t>
        </is>
      </c>
      <c r="B15" s="11" t="inlineStr">
        <is>
          <t>June 2026</t>
        </is>
      </c>
      <c r="C15" s="53">
        <f>SUMIF('כל ההוצאות'!$F:$F,"יוני 2026",'כל ההוצאות'!$D:$D)</f>
        <v/>
      </c>
      <c r="D15" s="54">
        <f>SUMIF('כל ההוצאות'!$F:$F,"יוני 2026",'כל ההוצאות'!$E:$E)</f>
        <v/>
      </c>
      <c r="E15" s="55">
        <f>IF(C23&gt;0,C15/C23,0)</f>
        <v/>
      </c>
      <c r="F15" s="29" t="n"/>
    </row>
    <row r="16" ht="20" customHeight="1">
      <c r="A16" s="48" t="inlineStr">
        <is>
          <t>יולי 2026</t>
        </is>
      </c>
      <c r="B16" s="15" t="inlineStr">
        <is>
          <t>July 2026</t>
        </is>
      </c>
      <c r="C16" s="49">
        <f>SUMIF('כל ההוצאות'!$F:$F,"יולי 2026",'כל ההוצאות'!$D:$D)</f>
        <v/>
      </c>
      <c r="D16" s="50">
        <f>SUMIF('כל ההוצאות'!$F:$F,"יולי 2026",'כל ההוצאות'!$E:$E)</f>
        <v/>
      </c>
      <c r="E16" s="51">
        <f>IF(C23&gt;0,C16/C23,0)</f>
        <v/>
      </c>
      <c r="F16" s="24" t="n"/>
    </row>
    <row r="17" ht="20" customHeight="1">
      <c r="A17" s="52" t="inlineStr">
        <is>
          <t>אוגוסט 2026</t>
        </is>
      </c>
      <c r="B17" s="11" t="inlineStr">
        <is>
          <t>August 2026</t>
        </is>
      </c>
      <c r="C17" s="53">
        <f>SUMIF('כל ההוצאות'!$F:$F,"אוגוסט 2026",'כל ההוצאות'!$D:$D)</f>
        <v/>
      </c>
      <c r="D17" s="54">
        <f>SUMIF('כל ההוצאות'!$F:$F,"אוגוסט 2026",'כל ההוצאות'!$E:$E)</f>
        <v/>
      </c>
      <c r="E17" s="55">
        <f>IF(C23&gt;0,C17/C23,0)</f>
        <v/>
      </c>
      <c r="F17" s="29" t="n"/>
    </row>
    <row r="18" ht="20" customHeight="1">
      <c r="A18" s="48" t="inlineStr">
        <is>
          <t>ספטמבר 2026</t>
        </is>
      </c>
      <c r="B18" s="15" t="inlineStr">
        <is>
          <t>September 2026</t>
        </is>
      </c>
      <c r="C18" s="49">
        <f>SUMIF('כל ההוצאות'!$F:$F,"ספטמבר 2026",'כל ההוצאות'!$D:$D)</f>
        <v/>
      </c>
      <c r="D18" s="50">
        <f>SUMIF('כל ההוצאות'!$F:$F,"ספטמבר 2026",'כל ההוצאות'!$E:$E)</f>
        <v/>
      </c>
      <c r="E18" s="51">
        <f>IF(C23&gt;0,C18/C23,0)</f>
        <v/>
      </c>
      <c r="F18" s="24" t="n"/>
    </row>
    <row r="19" ht="20" customHeight="1">
      <c r="A19" s="52" t="inlineStr">
        <is>
          <t>אוקטובר 2026</t>
        </is>
      </c>
      <c r="B19" s="11" t="inlineStr">
        <is>
          <t>October 2026</t>
        </is>
      </c>
      <c r="C19" s="53">
        <f>SUMIF('כל ההוצאות'!$F:$F,"אוקטובר 2026",'כל ההוצאות'!$D:$D)</f>
        <v/>
      </c>
      <c r="D19" s="54">
        <f>SUMIF('כל ההוצאות'!$F:$F,"אוקטובר 2026",'כל ההוצאות'!$E:$E)</f>
        <v/>
      </c>
      <c r="E19" s="55">
        <f>IF(C23&gt;0,C19/C23,0)</f>
        <v/>
      </c>
      <c r="F19" s="29" t="n"/>
    </row>
    <row r="20" ht="20" customHeight="1">
      <c r="A20" s="48" t="inlineStr">
        <is>
          <t>נובמבר 2026</t>
        </is>
      </c>
      <c r="B20" s="15" t="inlineStr">
        <is>
          <t>November 2026</t>
        </is>
      </c>
      <c r="C20" s="49">
        <f>SUMIF('כל ההוצאות'!$F:$F,"נובמבר 2026",'כל ההוצאות'!$D:$D)</f>
        <v/>
      </c>
      <c r="D20" s="50">
        <f>SUMIF('כל ההוצאות'!$F:$F,"נובמבר 2026",'כל ההוצאות'!$E:$E)</f>
        <v/>
      </c>
      <c r="E20" s="51">
        <f>IF(C23&gt;0,C20/C23,0)</f>
        <v/>
      </c>
      <c r="F20" s="24" t="n"/>
    </row>
    <row r="21" ht="20" customHeight="1">
      <c r="A21" s="52" t="inlineStr">
        <is>
          <t>דצמבר 2026</t>
        </is>
      </c>
      <c r="B21" s="11" t="inlineStr">
        <is>
          <t>December 2026</t>
        </is>
      </c>
      <c r="C21" s="53">
        <f>SUMIF('כל ההוצאות'!$F:$F,"דצמבר 2026",'כל ההוצאות'!$D:$D)</f>
        <v/>
      </c>
      <c r="D21" s="54">
        <f>SUMIF('כל ההוצאות'!$F:$F,"דצמבר 2026",'כל ההוצאות'!$E:$E)</f>
        <v/>
      </c>
      <c r="E21" s="55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6" t="inlineStr">
        <is>
          <t>סה"כ שנתי</t>
        </is>
      </c>
      <c r="B23" s="31" t="n"/>
      <c r="C23" s="57">
        <f>SUM(C4:C21)</f>
        <v/>
      </c>
      <c r="D23" s="58">
        <f>SUM(D4:D21)</f>
        <v/>
      </c>
      <c r="E23" s="59" t="inlineStr">
        <is>
          <t>100%</t>
        </is>
      </c>
      <c r="F23" s="31" t="n"/>
    </row>
    <row r="24">
      <c r="A24" s="60" t="inlineStr">
        <is>
          <t>ממוצע חודשי</t>
        </is>
      </c>
      <c r="B24" s="24" t="n"/>
      <c r="C24" s="61">
        <f>AVERAGE(C4:C21)</f>
        <v/>
      </c>
      <c r="D24" s="62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2026-04-11T17:22:03Z</dcterms:created>
  <dcterms:modified xsi:type="dcterms:W3CDTF">2026-04-11T17:22:03Z</dcterms:modified>
</cp:coreProperties>
</file>