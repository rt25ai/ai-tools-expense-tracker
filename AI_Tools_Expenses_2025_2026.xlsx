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oita\מעקב הוצאות כלים\"/>
    </mc:Choice>
  </mc:AlternateContent>
  <xr:revisionPtr revIDLastSave="0" documentId="11_C93FFF2C68F48BE1FB05EC776C46B23A5EE984C9" xr6:coauthVersionLast="47" xr6:coauthVersionMax="47" xr10:uidLastSave="{00000000-0000-0000-0000-000000000000}"/>
  <bookViews>
    <workbookView xWindow="-108" yWindow="-108" windowWidth="23256" windowHeight="12456" firstSheet="7" activeTab="13" xr2:uid="{00000000-000D-0000-FFFF-FFFF00000000}"/>
  </bookViews>
  <sheets>
    <sheet name="הגדרות" sheetId="1" r:id="rId1"/>
    <sheet name="כל ההוצאות" sheetId="2" r:id="rId2"/>
    <sheet name="יולי 2025" sheetId="3" r:id="rId3"/>
    <sheet name="אוגוסט 2025" sheetId="4" r:id="rId4"/>
    <sheet name="ספטמבר 2025" sheetId="5" r:id="rId5"/>
    <sheet name="אוקטובר 2025" sheetId="6" r:id="rId6"/>
    <sheet name="נובמבר 2025" sheetId="7" r:id="rId7"/>
    <sheet name="דצמבר 2025" sheetId="8" r:id="rId8"/>
    <sheet name="ינואר 2026" sheetId="9" r:id="rId9"/>
    <sheet name="פברואר 2026" sheetId="10" r:id="rId10"/>
    <sheet name="מרץ 2026" sheetId="11" r:id="rId11"/>
    <sheet name="אפריל 2026" sheetId="12" r:id="rId12"/>
    <sheet name="סיכום חודשי" sheetId="13" r:id="rId13"/>
    <sheet name="דוח שנתי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0" i="13" l="1"/>
  <c r="U20" i="13" s="1"/>
  <c r="R20" i="13"/>
  <c r="S20" i="13" s="1"/>
  <c r="P20" i="13"/>
  <c r="Q20" i="13" s="1"/>
  <c r="N20" i="13"/>
  <c r="O20" i="13" s="1"/>
  <c r="L20" i="13"/>
  <c r="M20" i="13" s="1"/>
  <c r="J20" i="13"/>
  <c r="K20" i="13" s="1"/>
  <c r="H20" i="13"/>
  <c r="I20" i="13" s="1"/>
  <c r="F20" i="13"/>
  <c r="G20" i="13" s="1"/>
  <c r="D20" i="13"/>
  <c r="E20" i="13" s="1"/>
  <c r="B20" i="13"/>
  <c r="C20" i="13" s="1"/>
  <c r="T19" i="13"/>
  <c r="U19" i="13" s="1"/>
  <c r="R19" i="13"/>
  <c r="S19" i="13" s="1"/>
  <c r="P19" i="13"/>
  <c r="Q19" i="13" s="1"/>
  <c r="N19" i="13"/>
  <c r="O19" i="13" s="1"/>
  <c r="L19" i="13"/>
  <c r="M19" i="13" s="1"/>
  <c r="J19" i="13"/>
  <c r="K19" i="13" s="1"/>
  <c r="H19" i="13"/>
  <c r="I19" i="13" s="1"/>
  <c r="F19" i="13"/>
  <c r="G19" i="13" s="1"/>
  <c r="D19" i="13"/>
  <c r="E19" i="13" s="1"/>
  <c r="B19" i="13"/>
  <c r="C19" i="13" s="1"/>
  <c r="T18" i="13"/>
  <c r="U18" i="13" s="1"/>
  <c r="R18" i="13"/>
  <c r="S18" i="13" s="1"/>
  <c r="P18" i="13"/>
  <c r="Q18" i="13" s="1"/>
  <c r="N18" i="13"/>
  <c r="O18" i="13" s="1"/>
  <c r="L18" i="13"/>
  <c r="M18" i="13" s="1"/>
  <c r="J18" i="13"/>
  <c r="K18" i="13" s="1"/>
  <c r="H18" i="13"/>
  <c r="I18" i="13" s="1"/>
  <c r="F18" i="13"/>
  <c r="G18" i="13" s="1"/>
  <c r="D18" i="13"/>
  <c r="E18" i="13" s="1"/>
  <c r="B18" i="13"/>
  <c r="C18" i="13" s="1"/>
  <c r="T17" i="13"/>
  <c r="U17" i="13" s="1"/>
  <c r="R17" i="13"/>
  <c r="S17" i="13" s="1"/>
  <c r="P17" i="13"/>
  <c r="Q17" i="13" s="1"/>
  <c r="N17" i="13"/>
  <c r="O17" i="13" s="1"/>
  <c r="L17" i="13"/>
  <c r="M17" i="13" s="1"/>
  <c r="J17" i="13"/>
  <c r="K17" i="13" s="1"/>
  <c r="H17" i="13"/>
  <c r="I17" i="13" s="1"/>
  <c r="F17" i="13"/>
  <c r="G17" i="13" s="1"/>
  <c r="D17" i="13"/>
  <c r="E17" i="13" s="1"/>
  <c r="B17" i="13"/>
  <c r="V17" i="13" s="1"/>
  <c r="W17" i="13" s="1"/>
  <c r="T16" i="13"/>
  <c r="U16" i="13" s="1"/>
  <c r="R16" i="13"/>
  <c r="S16" i="13" s="1"/>
  <c r="P16" i="13"/>
  <c r="Q16" i="13" s="1"/>
  <c r="N16" i="13"/>
  <c r="O16" i="13" s="1"/>
  <c r="L16" i="13"/>
  <c r="M16" i="13" s="1"/>
  <c r="J16" i="13"/>
  <c r="K16" i="13" s="1"/>
  <c r="H16" i="13"/>
  <c r="I16" i="13" s="1"/>
  <c r="F16" i="13"/>
  <c r="G16" i="13" s="1"/>
  <c r="D16" i="13"/>
  <c r="E16" i="13" s="1"/>
  <c r="B16" i="13"/>
  <c r="C16" i="13" s="1"/>
  <c r="T15" i="13"/>
  <c r="U15" i="13" s="1"/>
  <c r="R15" i="13"/>
  <c r="S15" i="13" s="1"/>
  <c r="P15" i="13"/>
  <c r="Q15" i="13" s="1"/>
  <c r="N15" i="13"/>
  <c r="O15" i="13" s="1"/>
  <c r="L15" i="13"/>
  <c r="M15" i="13" s="1"/>
  <c r="J15" i="13"/>
  <c r="K15" i="13" s="1"/>
  <c r="H15" i="13"/>
  <c r="I15" i="13" s="1"/>
  <c r="F15" i="13"/>
  <c r="G15" i="13" s="1"/>
  <c r="D15" i="13"/>
  <c r="E15" i="13" s="1"/>
  <c r="B15" i="13"/>
  <c r="V15" i="13" s="1"/>
  <c r="W15" i="13" s="1"/>
  <c r="T14" i="13"/>
  <c r="U14" i="13" s="1"/>
  <c r="R14" i="13"/>
  <c r="S14" i="13" s="1"/>
  <c r="P14" i="13"/>
  <c r="Q14" i="13" s="1"/>
  <c r="N14" i="13"/>
  <c r="O14" i="13" s="1"/>
  <c r="L14" i="13"/>
  <c r="M14" i="13" s="1"/>
  <c r="J14" i="13"/>
  <c r="K14" i="13" s="1"/>
  <c r="H14" i="13"/>
  <c r="I14" i="13" s="1"/>
  <c r="F14" i="13"/>
  <c r="G14" i="13" s="1"/>
  <c r="D14" i="13"/>
  <c r="E14" i="13" s="1"/>
  <c r="B14" i="13"/>
  <c r="C14" i="13" s="1"/>
  <c r="T13" i="13"/>
  <c r="U13" i="13" s="1"/>
  <c r="R13" i="13"/>
  <c r="S13" i="13" s="1"/>
  <c r="P13" i="13"/>
  <c r="Q13" i="13" s="1"/>
  <c r="N13" i="13"/>
  <c r="O13" i="13" s="1"/>
  <c r="L13" i="13"/>
  <c r="M13" i="13" s="1"/>
  <c r="J13" i="13"/>
  <c r="K13" i="13" s="1"/>
  <c r="H13" i="13"/>
  <c r="I13" i="13" s="1"/>
  <c r="F13" i="13"/>
  <c r="G13" i="13" s="1"/>
  <c r="D13" i="13"/>
  <c r="E13" i="13" s="1"/>
  <c r="B13" i="13"/>
  <c r="C13" i="13" s="1"/>
  <c r="T12" i="13"/>
  <c r="U12" i="13" s="1"/>
  <c r="R12" i="13"/>
  <c r="S12" i="13" s="1"/>
  <c r="P12" i="13"/>
  <c r="Q12" i="13" s="1"/>
  <c r="N12" i="13"/>
  <c r="O12" i="13" s="1"/>
  <c r="L12" i="13"/>
  <c r="M12" i="13" s="1"/>
  <c r="J12" i="13"/>
  <c r="K12" i="13" s="1"/>
  <c r="H12" i="13"/>
  <c r="I12" i="13" s="1"/>
  <c r="F12" i="13"/>
  <c r="G12" i="13" s="1"/>
  <c r="D12" i="13"/>
  <c r="E12" i="13" s="1"/>
  <c r="B12" i="13"/>
  <c r="C12" i="13" s="1"/>
  <c r="T11" i="13"/>
  <c r="U11" i="13" s="1"/>
  <c r="R11" i="13"/>
  <c r="S11" i="13" s="1"/>
  <c r="P11" i="13"/>
  <c r="Q11" i="13" s="1"/>
  <c r="N11" i="13"/>
  <c r="O11" i="13" s="1"/>
  <c r="L11" i="13"/>
  <c r="M11" i="13" s="1"/>
  <c r="J11" i="13"/>
  <c r="K11" i="13" s="1"/>
  <c r="H11" i="13"/>
  <c r="I11" i="13" s="1"/>
  <c r="F11" i="13"/>
  <c r="G11" i="13" s="1"/>
  <c r="D11" i="13"/>
  <c r="E11" i="13" s="1"/>
  <c r="B11" i="13"/>
  <c r="C11" i="13" s="1"/>
  <c r="T10" i="13"/>
  <c r="U10" i="13" s="1"/>
  <c r="R10" i="13"/>
  <c r="S10" i="13" s="1"/>
  <c r="P10" i="13"/>
  <c r="Q10" i="13" s="1"/>
  <c r="N10" i="13"/>
  <c r="O10" i="13" s="1"/>
  <c r="L10" i="13"/>
  <c r="M10" i="13" s="1"/>
  <c r="J10" i="13"/>
  <c r="K10" i="13" s="1"/>
  <c r="H10" i="13"/>
  <c r="I10" i="13" s="1"/>
  <c r="F10" i="13"/>
  <c r="G10" i="13" s="1"/>
  <c r="D10" i="13"/>
  <c r="E10" i="13" s="1"/>
  <c r="B10" i="13"/>
  <c r="V10" i="13" s="1"/>
  <c r="W10" i="13" s="1"/>
  <c r="T9" i="13"/>
  <c r="U9" i="13" s="1"/>
  <c r="R9" i="13"/>
  <c r="S9" i="13" s="1"/>
  <c r="P9" i="13"/>
  <c r="Q9" i="13" s="1"/>
  <c r="N9" i="13"/>
  <c r="O9" i="13" s="1"/>
  <c r="L9" i="13"/>
  <c r="M9" i="13" s="1"/>
  <c r="J9" i="13"/>
  <c r="K9" i="13" s="1"/>
  <c r="H9" i="13"/>
  <c r="I9" i="13" s="1"/>
  <c r="F9" i="13"/>
  <c r="G9" i="13" s="1"/>
  <c r="D9" i="13"/>
  <c r="E9" i="13" s="1"/>
  <c r="B9" i="13"/>
  <c r="C9" i="13" s="1"/>
  <c r="T8" i="13"/>
  <c r="U8" i="13" s="1"/>
  <c r="R8" i="13"/>
  <c r="S8" i="13" s="1"/>
  <c r="P8" i="13"/>
  <c r="Q8" i="13" s="1"/>
  <c r="N8" i="13"/>
  <c r="O8" i="13" s="1"/>
  <c r="L8" i="13"/>
  <c r="M8" i="13" s="1"/>
  <c r="J8" i="13"/>
  <c r="K8" i="13" s="1"/>
  <c r="H8" i="13"/>
  <c r="I8" i="13" s="1"/>
  <c r="F8" i="13"/>
  <c r="G8" i="13" s="1"/>
  <c r="D8" i="13"/>
  <c r="E8" i="13" s="1"/>
  <c r="B8" i="13"/>
  <c r="V8" i="13" s="1"/>
  <c r="W8" i="13" s="1"/>
  <c r="T7" i="13"/>
  <c r="U7" i="13" s="1"/>
  <c r="R7" i="13"/>
  <c r="S7" i="13" s="1"/>
  <c r="P7" i="13"/>
  <c r="Q7" i="13" s="1"/>
  <c r="N7" i="13"/>
  <c r="O7" i="13" s="1"/>
  <c r="L7" i="13"/>
  <c r="M7" i="13" s="1"/>
  <c r="J7" i="13"/>
  <c r="K7" i="13" s="1"/>
  <c r="H7" i="13"/>
  <c r="I7" i="13" s="1"/>
  <c r="F7" i="13"/>
  <c r="G7" i="13" s="1"/>
  <c r="D7" i="13"/>
  <c r="E7" i="13" s="1"/>
  <c r="B7" i="13"/>
  <c r="C7" i="13" s="1"/>
  <c r="T6" i="13"/>
  <c r="U6" i="13" s="1"/>
  <c r="R6" i="13"/>
  <c r="S6" i="13" s="1"/>
  <c r="P6" i="13"/>
  <c r="Q6" i="13" s="1"/>
  <c r="N6" i="13"/>
  <c r="O6" i="13" s="1"/>
  <c r="L6" i="13"/>
  <c r="M6" i="13" s="1"/>
  <c r="J6" i="13"/>
  <c r="K6" i="13" s="1"/>
  <c r="H6" i="13"/>
  <c r="I6" i="13" s="1"/>
  <c r="F6" i="13"/>
  <c r="G6" i="13" s="1"/>
  <c r="D6" i="13"/>
  <c r="E6" i="13" s="1"/>
  <c r="B6" i="13"/>
  <c r="C6" i="13" s="1"/>
  <c r="T5" i="13"/>
  <c r="T21" i="13" s="1"/>
  <c r="R5" i="13"/>
  <c r="R21" i="13" s="1"/>
  <c r="P5" i="13"/>
  <c r="P21" i="13" s="1"/>
  <c r="N5" i="13"/>
  <c r="N21" i="13" s="1"/>
  <c r="L5" i="13"/>
  <c r="L21" i="13" s="1"/>
  <c r="J5" i="13"/>
  <c r="K5" i="13" s="1"/>
  <c r="H5" i="13"/>
  <c r="H21" i="13" s="1"/>
  <c r="F5" i="13"/>
  <c r="F21" i="13" s="1"/>
  <c r="D5" i="13"/>
  <c r="D21" i="13" s="1"/>
  <c r="B5" i="13"/>
  <c r="B21" i="13" s="1"/>
  <c r="D8" i="12"/>
  <c r="E7" i="12"/>
  <c r="E6" i="12"/>
  <c r="E5" i="12"/>
  <c r="E4" i="12"/>
  <c r="E8" i="12" s="1"/>
  <c r="D11" i="11"/>
  <c r="E10" i="11"/>
  <c r="E9" i="11"/>
  <c r="E8" i="11"/>
  <c r="E7" i="11"/>
  <c r="E6" i="11"/>
  <c r="E5" i="11"/>
  <c r="E11" i="11" s="1"/>
  <c r="E4" i="11"/>
  <c r="D10" i="10"/>
  <c r="E9" i="10"/>
  <c r="E8" i="10"/>
  <c r="E7" i="10"/>
  <c r="E6" i="10"/>
  <c r="E5" i="10"/>
  <c r="E10" i="10" s="1"/>
  <c r="E4" i="10"/>
  <c r="D10" i="9"/>
  <c r="E9" i="9"/>
  <c r="E8" i="9"/>
  <c r="E7" i="9"/>
  <c r="E6" i="9"/>
  <c r="E5" i="9"/>
  <c r="E10" i="9" s="1"/>
  <c r="E4" i="9"/>
  <c r="D6" i="8"/>
  <c r="E5" i="8"/>
  <c r="E6" i="8" s="1"/>
  <c r="E4" i="8"/>
  <c r="E10" i="7"/>
  <c r="D10" i="7"/>
  <c r="E9" i="7"/>
  <c r="E8" i="7"/>
  <c r="E7" i="7"/>
  <c r="E6" i="7"/>
  <c r="E5" i="7"/>
  <c r="E4" i="7"/>
  <c r="D6" i="6"/>
  <c r="E5" i="6"/>
  <c r="E6" i="6" s="1"/>
  <c r="E4" i="6"/>
  <c r="D8" i="5"/>
  <c r="E7" i="5"/>
  <c r="E8" i="5" s="1"/>
  <c r="E6" i="5"/>
  <c r="E5" i="5"/>
  <c r="E4" i="5"/>
  <c r="D12" i="4"/>
  <c r="E11" i="4"/>
  <c r="E10" i="4"/>
  <c r="E9" i="4"/>
  <c r="E8" i="4"/>
  <c r="E7" i="4"/>
  <c r="E6" i="4"/>
  <c r="E5" i="4"/>
  <c r="E12" i="4" s="1"/>
  <c r="E4" i="4"/>
  <c r="E11" i="3"/>
  <c r="D11" i="3"/>
  <c r="E10" i="3"/>
  <c r="E9" i="3"/>
  <c r="E8" i="3"/>
  <c r="E7" i="3"/>
  <c r="E6" i="3"/>
  <c r="E5" i="3"/>
  <c r="E4" i="3"/>
  <c r="D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55" i="2" s="1"/>
  <c r="C13" i="14"/>
  <c r="D13" i="14" s="1"/>
  <c r="C12" i="14"/>
  <c r="D12" i="14" s="1"/>
  <c r="D11" i="14"/>
  <c r="C11" i="14"/>
  <c r="C10" i="14"/>
  <c r="D10" i="14" s="1"/>
  <c r="C9" i="14"/>
  <c r="D9" i="14" s="1"/>
  <c r="C8" i="14"/>
  <c r="D8" i="14" s="1"/>
  <c r="D7" i="14"/>
  <c r="C7" i="14"/>
  <c r="C6" i="14"/>
  <c r="D6" i="14" s="1"/>
  <c r="D5" i="14"/>
  <c r="C5" i="14"/>
  <c r="C4" i="14"/>
  <c r="C16" i="14" s="1"/>
  <c r="K21" i="13" l="1"/>
  <c r="J21" i="13"/>
  <c r="D4" i="14"/>
  <c r="D16" i="14" s="1"/>
  <c r="V9" i="13"/>
  <c r="W9" i="13" s="1"/>
  <c r="V16" i="13"/>
  <c r="W16" i="13" s="1"/>
  <c r="M5" i="13"/>
  <c r="M21" i="13" s="1"/>
  <c r="C8" i="13"/>
  <c r="C15" i="13"/>
  <c r="V5" i="13"/>
  <c r="V19" i="13"/>
  <c r="W19" i="13" s="1"/>
  <c r="V14" i="13"/>
  <c r="W14" i="13" s="1"/>
  <c r="V11" i="13"/>
  <c r="W11" i="13" s="1"/>
  <c r="V18" i="13"/>
  <c r="W18" i="13" s="1"/>
  <c r="O5" i="13"/>
  <c r="O21" i="13" s="1"/>
  <c r="C10" i="13"/>
  <c r="C17" i="13"/>
  <c r="V20" i="13"/>
  <c r="W20" i="13" s="1"/>
  <c r="C15" i="14"/>
  <c r="V13" i="13"/>
  <c r="W13" i="13" s="1"/>
  <c r="C5" i="13"/>
  <c r="Q5" i="13"/>
  <c r="Q21" i="13" s="1"/>
  <c r="E5" i="13"/>
  <c r="E21" i="13" s="1"/>
  <c r="S5" i="13"/>
  <c r="S21" i="13" s="1"/>
  <c r="V6" i="13"/>
  <c r="W6" i="13" s="1"/>
  <c r="V12" i="13"/>
  <c r="W12" i="13" s="1"/>
  <c r="V7" i="13"/>
  <c r="W7" i="13" s="1"/>
  <c r="G5" i="13"/>
  <c r="G21" i="13" s="1"/>
  <c r="U5" i="13"/>
  <c r="U21" i="13" s="1"/>
  <c r="I5" i="13"/>
  <c r="I21" i="13" s="1"/>
  <c r="E13" i="14" l="1"/>
  <c r="E7" i="14"/>
  <c r="E6" i="14"/>
  <c r="E11" i="14"/>
  <c r="E10" i="14"/>
  <c r="E4" i="14"/>
  <c r="E8" i="14"/>
  <c r="E5" i="14"/>
  <c r="E12" i="14"/>
  <c r="D15" i="14"/>
  <c r="E9" i="14"/>
  <c r="V21" i="13"/>
  <c r="W5" i="13"/>
  <c r="W21" i="13" s="1"/>
  <c r="C21" i="13"/>
</calcChain>
</file>

<file path=xl/sharedStrings.xml><?xml version="1.0" encoding="utf-8"?>
<sst xmlns="http://schemas.openxmlformats.org/spreadsheetml/2006/main" count="543" uniqueCount="160">
  <si>
    <t>דוח שנתי – AI Tool Expenses</t>
  </si>
  <si>
    <t>סיכום הוצאות לפי חודש – יולי 2025 עד אפריל 2026</t>
  </si>
  <si>
    <t>חודש</t>
  </si>
  <si>
    <t>תאריך</t>
  </si>
  <si>
    <t>הוצאה ($)</t>
  </si>
  <si>
    <t>הוצאה (₪)</t>
  </si>
  <si>
    <t>% מסה"כ</t>
  </si>
  <si>
    <t>הערות</t>
  </si>
  <si>
    <t>יולי 2025</t>
  </si>
  <si>
    <t>July 2025</t>
  </si>
  <si>
    <t>אוגוסט 2025</t>
  </si>
  <si>
    <t>August 2025</t>
  </si>
  <si>
    <t>ספטמבר 2025</t>
  </si>
  <si>
    <t>September 2025</t>
  </si>
  <si>
    <t>אוקטובר 2025</t>
  </si>
  <si>
    <t>October 2025</t>
  </si>
  <si>
    <t>נובמבר 2025</t>
  </si>
  <si>
    <t>November 2025</t>
  </si>
  <si>
    <t>דצמבר 2025</t>
  </si>
  <si>
    <t>December 2025</t>
  </si>
  <si>
    <t>ינואר 2026</t>
  </si>
  <si>
    <t>January 2026</t>
  </si>
  <si>
    <t>פברואר 2026</t>
  </si>
  <si>
    <t>February 2026</t>
  </si>
  <si>
    <t>מרץ 2026</t>
  </si>
  <si>
    <t>March 2026</t>
  </si>
  <si>
    <t>אפריל 2026</t>
  </si>
  <si>
    <t>April 2026</t>
  </si>
  <si>
    <t>סה"כ שנתי</t>
  </si>
  <si>
    <t>100%</t>
  </si>
  <si>
    <t>ממוצע חודשי</t>
  </si>
  <si>
    <t xml:space="preserve">  הגדרות ופרמטרים – AI Tool Expenses</t>
  </si>
  <si>
    <t>שער חליפין</t>
  </si>
  <si>
    <t>שער USD → ILS (לעדכון ידני)</t>
  </si>
  <si>
    <t>← ניתן לעדכן שיעור זה בכל עת</t>
  </si>
  <si>
    <t>הערה:</t>
  </si>
  <si>
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</si>
  <si>
    <t>כל ההוצאות – כלי AI  |  יולי 2025 – אפריל 2026</t>
  </si>
  <si>
    <t>כלי</t>
  </si>
  <si>
    <t>תיאור</t>
  </si>
  <si>
    <t>סכום ($)</t>
  </si>
  <si>
    <t>סכום (₪)</t>
  </si>
  <si>
    <t>2025-07-04</t>
  </si>
  <si>
    <t>Recraft</t>
  </si>
  <si>
    <t>Basic – first month promo</t>
  </si>
  <si>
    <t>2025-07-09</t>
  </si>
  <si>
    <t>Ideogram AI</t>
  </si>
  <si>
    <t>Ideogram Basic – annual</t>
  </si>
  <si>
    <t>2025-07-10</t>
  </si>
  <si>
    <t>Make</t>
  </si>
  <si>
    <t>Core plan 10k ops/month</t>
  </si>
  <si>
    <t>2025-07-11</t>
  </si>
  <si>
    <t>Anthropic</t>
  </si>
  <si>
    <t>Claude Pro</t>
  </si>
  <si>
    <t>2025-07-20</t>
  </si>
  <si>
    <t>Runway ML</t>
  </si>
  <si>
    <t>Standard (10% affiliate off)</t>
  </si>
  <si>
    <t>2025-07-30</t>
  </si>
  <si>
    <t>Replicate</t>
  </si>
  <si>
    <t>Early card charge</t>
  </si>
  <si>
    <t>Upgrade -&gt; Plus Annual</t>
  </si>
  <si>
    <t>2025-08-02</t>
  </si>
  <si>
    <t>Credits 1,500</t>
  </si>
  <si>
    <t>2025-08-04</t>
  </si>
  <si>
    <t>Basic monthly</t>
  </si>
  <si>
    <t>2025-08-05</t>
  </si>
  <si>
    <t>Usage - July</t>
  </si>
  <si>
    <t>2025-08-09</t>
  </si>
  <si>
    <t>Manus AI</t>
  </si>
  <si>
    <t>2025-08-10</t>
  </si>
  <si>
    <t>2025-08-11</t>
  </si>
  <si>
    <t>2025-08-30</t>
  </si>
  <si>
    <t>Standard (25% off)</t>
  </si>
  <si>
    <t>Eleven Labs</t>
  </si>
  <si>
    <t>Starter monthly</t>
  </si>
  <si>
    <t>2025-09-05</t>
  </si>
  <si>
    <t>Usage - August</t>
  </si>
  <si>
    <t>2025-09-10</t>
  </si>
  <si>
    <t>2025-09-24</t>
  </si>
  <si>
    <t>2025-09-30</t>
  </si>
  <si>
    <t>2025-10-24</t>
  </si>
  <si>
    <t>2025-10-30</t>
  </si>
  <si>
    <t>2025-11-09</t>
  </si>
  <si>
    <t>Pro 1k credits</t>
  </si>
  <si>
    <t>2025-11-11</t>
  </si>
  <si>
    <t>Astria</t>
  </si>
  <si>
    <t>Credits x10 + 18% VAT</t>
  </si>
  <si>
    <t>Standard monthly</t>
  </si>
  <si>
    <t>2025-11-13</t>
  </si>
  <si>
    <t>Hedra</t>
  </si>
  <si>
    <t>Extra Small Credit Pack</t>
  </si>
  <si>
    <t>2025-11-24</t>
  </si>
  <si>
    <t>2025-11-30</t>
  </si>
  <si>
    <t>2025-12-03</t>
  </si>
  <si>
    <t>Manychat</t>
  </si>
  <si>
    <t>Pro monthly</t>
  </si>
  <si>
    <t>2025-12-30</t>
  </si>
  <si>
    <t>2026-01-03</t>
  </si>
  <si>
    <t>Genspark</t>
  </si>
  <si>
    <t>Plus Annual (happynewyear26 promo)</t>
  </si>
  <si>
    <t>2026-01-05</t>
  </si>
  <si>
    <t>Credits Pack</t>
  </si>
  <si>
    <t>2026-01-08</t>
  </si>
  <si>
    <t>2026-01-30</t>
  </si>
  <si>
    <t>Timeless</t>
  </si>
  <si>
    <t>Pro monthly (50% off)</t>
  </si>
  <si>
    <t>2026-02-01</t>
  </si>
  <si>
    <t>Lovable</t>
  </si>
  <si>
    <t>Upgrade Pro1 -&gt; Pro2 (prorated)</t>
  </si>
  <si>
    <t>2026-02-15</t>
  </si>
  <si>
    <t>2026-02-16</t>
  </si>
  <si>
    <t>Credit purchase</t>
  </si>
  <si>
    <t>2026-02-25</t>
  </si>
  <si>
    <t>Meta (Ads)</t>
  </si>
  <si>
    <t>Facebook Ads</t>
  </si>
  <si>
    <t>Pro2 monthly</t>
  </si>
  <si>
    <t>2026-02-28</t>
  </si>
  <si>
    <t>2026-03-01</t>
  </si>
  <si>
    <t>2026-03-03</t>
  </si>
  <si>
    <t>2026-03-12</t>
  </si>
  <si>
    <t>2026-03-15</t>
  </si>
  <si>
    <t>2026-03-19</t>
  </si>
  <si>
    <t>Creator (first month 50% off)</t>
  </si>
  <si>
    <t>2026-03-25</t>
  </si>
  <si>
    <t>Lite plan</t>
  </si>
  <si>
    <t>2026-04-01</t>
  </si>
  <si>
    <t>2026-04-03</t>
  </si>
  <si>
    <t>2026-04-05</t>
  </si>
  <si>
    <t>IONOS</t>
  </si>
  <si>
    <t>Instant Domain</t>
  </si>
  <si>
    <t>סה"כ"</t>
  </si>
  <si>
    <t>יולי 2025  |  July 2025</t>
  </si>
  <si>
    <t>← חזרה לסיכום חודשי</t>
  </si>
  <si>
    <t>סה"כ חודש"</t>
  </si>
  <si>
    <t>אוגוסט 2025  |  August 2025</t>
  </si>
  <si>
    <t>ספטמבר 2025  |  September 2025</t>
  </si>
  <si>
    <t>אוקטובר 2025  |  October 2025</t>
  </si>
  <si>
    <t>נובמבר 2025  |  November 2025</t>
  </si>
  <si>
    <t>דצמבר 2025  |  December 2025</t>
  </si>
  <si>
    <t>ינואר 2026  |  January 2026</t>
  </si>
  <si>
    <t>פברואר 2026  |  February 2026</t>
  </si>
  <si>
    <t>מרץ 2026  |  March 2026</t>
  </si>
  <si>
    <t>אפריל 2026  |  April 2026</t>
  </si>
  <si>
    <t>סיכום חודשי לפי כלי  |  יולי 2025 – אפריל 2026</t>
  </si>
  <si>
    <t>לחץ על שם חודש כדי לצפייה בגליון המפורט ↓</t>
  </si>
  <si>
    <t>יולי 2025
(July 2025)</t>
  </si>
  <si>
    <t>אוגוסט 2025
(August 2025)</t>
  </si>
  <si>
    <t>ספטמבר 2025
(September 2025)</t>
  </si>
  <si>
    <t>אוקטובר 2025
(October 2025)</t>
  </si>
  <si>
    <t>נובמבר 2025
(November 2025)</t>
  </si>
  <si>
    <t>דצמבר 2025
(December 2025)</t>
  </si>
  <si>
    <t>ינואר 2026
(January 2026)</t>
  </si>
  <si>
    <t>פברואר 2026
(February 2026)</t>
  </si>
  <si>
    <t>מרץ 2026
(March 2026)</t>
  </si>
  <si>
    <t>אפריל 2026
(April 2026)</t>
  </si>
  <si>
    <t>סה"כ ($)</t>
  </si>
  <si>
    <t>סה"כ (₪)</t>
  </si>
  <si>
    <t>$</t>
  </si>
  <si>
    <t>₪</t>
  </si>
  <si>
    <t>סה"כ חודשי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</si>
</sst>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&quot; ₪/$&quot;"/>
    <numFmt numFmtId="165" formatCode="[$$-409]#,##0.00"/>
    <numFmt numFmtId="166" formatCode="#,##0.00&quot; ₪&quot;"/>
    <numFmt numFmtId="167" formatCode="[$$-409]#,##0.00;[$$-409]\(#,##0.00\);&quot;-&quot;"/>
    <numFmt numFmtId="168" formatCode="#,##0.00&quot; ₪&quot;;\(#,##0.00&quot; ₪&quot;\);&quot;-&quot;"/>
    <numFmt numFmtId="169" formatCode="0.0%"/>
  </numFmts>
  <fonts count="18" x14ac:knownFonts="1">
    <font>
      <sz val="11"/>
      <color theme="1"/>
      <name val="Arial"/>
      <family val="2"/>
      <scheme val="minor"/>
    </font>
    <font>
      <b/>
      <sz val="16"/>
      <color rgb="FFFFFFFF"/>
      <name val="Arial"/>
    </font>
    <font>
      <b/>
      <sz val="12"/>
      <color rgb="FFFFFFFF"/>
      <name val="Arial"/>
    </font>
    <font>
      <sz val="10"/>
      <name val="Arial"/>
    </font>
    <font>
      <b/>
      <sz val="12"/>
      <color rgb="FF0000FF"/>
      <name val="Arial"/>
    </font>
    <font>
      <i/>
      <sz val="9"/>
      <color rgb="FF595959"/>
      <name val="Arial"/>
    </font>
    <font>
      <b/>
      <sz val="10"/>
      <name val="Arial"/>
    </font>
    <font>
      <b/>
      <sz val="14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u/>
      <sz val="9"/>
      <color rgb="FF0000FF"/>
      <name val="Arial"/>
    </font>
    <font>
      <b/>
      <u/>
      <sz val="9"/>
      <color rgb="FFFFFFFF"/>
      <name val="Arial"/>
    </font>
    <font>
      <b/>
      <sz val="9"/>
      <color rgb="FFFFFFFF"/>
      <name val="Arial"/>
    </font>
    <font>
      <i/>
      <sz val="11"/>
      <color rgb="FFFFFFFF"/>
      <name val="Arial"/>
    </font>
    <font>
      <b/>
      <u/>
      <sz val="10"/>
      <color rgb="FF0000FF"/>
      <name val="Arial"/>
    </font>
    <font>
      <b/>
      <sz val="11"/>
      <name val="Arial"/>
    </font>
    <font>
      <b/>
      <sz val="13"/>
      <color rgb="FFFFFFFF"/>
      <name val="Arial"/>
    </font>
    <font>
      <b/>
      <sz val="10"/>
      <color rgb="FF59595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3" fillId="0" borderId="0" xfId="0" applyFont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165" fontId="9" fillId="5" borderId="2" xfId="0" applyNumberFormat="1" applyFont="1" applyFill="1" applyBorder="1" applyAlignment="1">
      <alignment horizontal="right" vertical="center"/>
    </xf>
    <xf numFmtId="166" fontId="9" fillId="5" borderId="2" xfId="0" applyNumberFormat="1" applyFont="1" applyFill="1" applyBorder="1" applyAlignment="1">
      <alignment horizontal="right" vertical="center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165" fontId="9" fillId="6" borderId="2" xfId="0" applyNumberFormat="1" applyFont="1" applyFill="1" applyBorder="1" applyAlignment="1">
      <alignment horizontal="right" vertical="center"/>
    </xf>
    <xf numFmtId="166" fontId="9" fillId="6" borderId="2" xfId="0" applyNumberFormat="1" applyFont="1" applyFill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 wrapText="1"/>
    </xf>
    <xf numFmtId="0" fontId="0" fillId="2" borderId="2" xfId="0" applyFill="1" applyBorder="1"/>
    <xf numFmtId="165" fontId="8" fillId="2" borderId="1" xfId="0" applyNumberFormat="1" applyFont="1" applyFill="1" applyBorder="1" applyAlignment="1">
      <alignment horizontal="right" vertical="center"/>
    </xf>
    <xf numFmtId="166" fontId="8" fillId="2" borderId="1" xfId="0" applyNumberFormat="1" applyFont="1" applyFill="1" applyBorder="1" applyAlignment="1">
      <alignment horizontal="right" vertical="center"/>
    </xf>
    <xf numFmtId="0" fontId="10" fillId="6" borderId="2" xfId="0" applyFont="1" applyFill="1" applyBorder="1" applyAlignment="1">
      <alignment horizontal="left" vertical="center" wrapText="1"/>
    </xf>
    <xf numFmtId="0" fontId="0" fillId="6" borderId="2" xfId="0" applyFill="1" applyBorder="1"/>
    <xf numFmtId="165" fontId="3" fillId="6" borderId="2" xfId="0" applyNumberFormat="1" applyFont="1" applyFill="1" applyBorder="1" applyAlignment="1">
      <alignment horizontal="right" vertical="center"/>
    </xf>
    <xf numFmtId="166" fontId="3" fillId="6" borderId="2" xfId="0" applyNumberFormat="1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8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2" fillId="3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left" vertical="center" wrapText="1"/>
    </xf>
    <xf numFmtId="167" fontId="3" fillId="6" borderId="2" xfId="0" applyNumberFormat="1" applyFont="1" applyFill="1" applyBorder="1" applyAlignment="1">
      <alignment horizontal="right" vertical="center"/>
    </xf>
    <xf numFmtId="168" fontId="3" fillId="6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168" fontId="6" fillId="6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left" vertical="center" wrapText="1"/>
    </xf>
    <xf numFmtId="167" fontId="3" fillId="5" borderId="2" xfId="0" applyNumberFormat="1" applyFont="1" applyFill="1" applyBorder="1" applyAlignment="1">
      <alignment horizontal="right" vertical="center"/>
    </xf>
    <xf numFmtId="168" fontId="3" fillId="5" borderId="2" xfId="0" applyNumberFormat="1" applyFont="1" applyFill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166" fontId="2" fillId="2" borderId="1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left" vertical="center" wrapText="1"/>
    </xf>
    <xf numFmtId="165" fontId="15" fillId="6" borderId="2" xfId="0" applyNumberFormat="1" applyFont="1" applyFill="1" applyBorder="1" applyAlignment="1">
      <alignment horizontal="right" vertical="center"/>
    </xf>
    <xf numFmtId="166" fontId="15" fillId="6" borderId="2" xfId="0" applyNumberFormat="1" applyFont="1" applyFill="1" applyBorder="1" applyAlignment="1">
      <alignment horizontal="right" vertical="center"/>
    </xf>
    <xf numFmtId="169" fontId="3" fillId="6" borderId="2" xfId="0" applyNumberFormat="1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left" vertical="center" wrapText="1"/>
    </xf>
    <xf numFmtId="165" fontId="15" fillId="5" borderId="2" xfId="0" applyNumberFormat="1" applyFont="1" applyFill="1" applyBorder="1" applyAlignment="1">
      <alignment horizontal="right" vertical="center"/>
    </xf>
    <xf numFmtId="166" fontId="15" fillId="5" borderId="2" xfId="0" applyNumberFormat="1" applyFont="1" applyFill="1" applyBorder="1" applyAlignment="1">
      <alignment horizontal="right" vertical="center"/>
    </xf>
    <xf numFmtId="169" fontId="3" fillId="5" borderId="2" xfId="0" applyNumberFormat="1" applyFont="1" applyFill="1" applyBorder="1" applyAlignment="1">
      <alignment horizontal="center" vertical="center" wrapText="1"/>
    </xf>
    <xf numFmtId="165" fontId="16" fillId="2" borderId="1" xfId="0" applyNumberFormat="1" applyFont="1" applyFill="1" applyBorder="1" applyAlignment="1">
      <alignment horizontal="right" vertical="center"/>
    </xf>
    <xf numFmtId="166" fontId="16" fillId="2" borderId="1" xfId="0" applyNumberFormat="1" applyFont="1" applyFill="1" applyBorder="1" applyAlignment="1">
      <alignment horizontal="right" vertical="center"/>
    </xf>
    <xf numFmtId="169" fontId="8" fillId="2" borderId="1" xfId="0" applyNumberFormat="1" applyFont="1" applyFill="1" applyBorder="1" applyAlignment="1">
      <alignment horizontal="center" vertical="center" wrapText="1"/>
    </xf>
    <xf numFmtId="165" fontId="17" fillId="6" borderId="2" xfId="0" applyNumberFormat="1" applyFont="1" applyFill="1" applyBorder="1" applyAlignment="1">
      <alignment horizontal="right" vertical="center"/>
    </xf>
    <xf numFmtId="166" fontId="17" fillId="6" borderId="2" xfId="0" applyNumberFormat="1" applyFont="1" applyFill="1" applyBorder="1" applyAlignment="1">
      <alignment horizontal="right" vertical="center"/>
    </xf>
    <xf numFmtId="0" fontId="13" fillId="3" borderId="0" xfId="0" applyFont="1" applyFill="1" applyAlignment="1">
      <alignment horizontal="center" vertical="center" wrapText="1"/>
    </xf>
    <xf numFmtId="0" fontId="0" fillId="0" borderId="0" xfId="0"/>
    <xf numFmtId="0" fontId="17" fillId="6" borderId="2" xfId="0" applyFont="1" applyFill="1" applyBorder="1" applyAlignment="1">
      <alignment horizontal="center" vertical="center" wrapText="1"/>
    </xf>
    <xf numFmtId="0" fontId="0" fillId="6" borderId="2" xfId="0" applyFill="1" applyBorder="1"/>
    <xf numFmtId="0" fontId="1" fillId="2" borderId="0" xfId="0" applyFont="1" applyFill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2" fillId="3" borderId="0" xfId="0" applyFont="1" applyFill="1" applyAlignment="1">
      <alignment horizontal="left" vertical="center" wrapText="1"/>
    </xf>
    <xf numFmtId="0" fontId="5" fillId="0" borderId="0" xfId="0" applyFont="1" applyAlignment="1">
      <alignment vertical="top" wrapText="1"/>
    </xf>
    <xf numFmtId="0" fontId="7" fillId="2" borderId="0" xfId="0" applyFont="1" applyFill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0" fillId="2" borderId="2" xfId="0" applyFill="1" applyBorder="1"/>
    <xf numFmtId="0" fontId="7" fillId="3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AI Tool Expenses (USD)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'דוח שנתי'!$C$3</c:f>
              <c:strCache>
                <c:ptCount val="1"/>
                <c:pt idx="0">
                  <c:v>הוצאה ($)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'דוח שנתי'!$A$4:$A$13</c:f>
              <c:strCache>
                <c:ptCount val="10"/>
                <c:pt idx="0">
                  <c:v>יולי 2025</c:v>
                </c:pt>
                <c:pt idx="1">
                  <c:v>אוגוסט 2025</c:v>
                </c:pt>
                <c:pt idx="2">
                  <c:v>ספטמבר 2025</c:v>
                </c:pt>
                <c:pt idx="3">
                  <c:v>אוקטובר 2025</c:v>
                </c:pt>
                <c:pt idx="4">
                  <c:v>נובמבר 2025</c:v>
                </c:pt>
                <c:pt idx="5">
                  <c:v>דצמבר 2025</c:v>
                </c:pt>
                <c:pt idx="6">
                  <c:v>ינואר 2026</c:v>
                </c:pt>
                <c:pt idx="7">
                  <c:v>פברואר 2026</c:v>
                </c:pt>
                <c:pt idx="8">
                  <c:v>מרץ 2026</c:v>
                </c:pt>
                <c:pt idx="9">
                  <c:v>אפריל 2026</c:v>
                </c:pt>
              </c:strCache>
            </c:strRef>
          </c:cat>
          <c:val>
            <c:numRef>
              <c:f>'דוח שנתי'!$C$4:$C$13</c:f>
              <c:numCache>
                <c:formatCode>[$$-409]#,##0.00</c:formatCode>
                <c:ptCount val="10"/>
                <c:pt idx="0">
                  <c:v>240.23000000000002</c:v>
                </c:pt>
                <c:pt idx="1">
                  <c:v>93.74</c:v>
                </c:pt>
                <c:pt idx="2">
                  <c:v>38.379999999999995</c:v>
                </c:pt>
                <c:pt idx="3">
                  <c:v>25</c:v>
                </c:pt>
                <c:pt idx="4">
                  <c:v>73.8</c:v>
                </c:pt>
                <c:pt idx="5">
                  <c:v>20</c:v>
                </c:pt>
                <c:pt idx="6">
                  <c:v>214.42</c:v>
                </c:pt>
                <c:pt idx="7">
                  <c:v>156</c:v>
                </c:pt>
                <c:pt idx="8">
                  <c:v>151.61000000000001</c:v>
                </c:pt>
                <c:pt idx="9">
                  <c:v>47.25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0-4721-B2D9-D609922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($)</a:t>
                </a:r>
              </a:p>
            </c:rich>
          </c:tx>
          <c:overlay val="1"/>
        </c:title>
        <c:numFmt formatCode="[$$-409]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A1:E8"/>
  <sheetViews>
    <sheetView rightToLeft="1" workbookViewId="0"/>
  </sheetViews>
  <sheetFormatPr defaultRowHeight="13.8" x14ac:dyDescent="0.25"/>
  <cols>
    <col min="1" max="1" width="35" customWidth="1"/>
    <col min="2" max="2" width="18" customWidth="1"/>
    <col min="3" max="3" width="45" customWidth="1"/>
  </cols>
  <sheetData>
    <row r="1" spans="1:5" ht="34.950000000000003" customHeight="1" x14ac:dyDescent="0.25">
      <c r="A1" s="56" t="s">
        <v>31</v>
      </c>
      <c r="B1" s="53"/>
      <c r="C1" s="53"/>
      <c r="D1" s="53"/>
      <c r="E1" s="53"/>
    </row>
    <row r="3" spans="1:5" x14ac:dyDescent="0.25">
      <c r="A3" s="59" t="s">
        <v>32</v>
      </c>
      <c r="B3" s="53"/>
    </row>
    <row r="4" spans="1:5" ht="22.05" customHeight="1" x14ac:dyDescent="0.25">
      <c r="A4" s="1" t="s">
        <v>33</v>
      </c>
      <c r="B4" s="2">
        <v>3.65</v>
      </c>
      <c r="C4" s="3" t="s">
        <v>34</v>
      </c>
    </row>
    <row r="6" spans="1:5" x14ac:dyDescent="0.25">
      <c r="A6" s="4" t="s">
        <v>35</v>
      </c>
      <c r="B6" s="60" t="s">
        <v>36</v>
      </c>
      <c r="C6" s="53"/>
      <c r="D6" s="53"/>
      <c r="E6" s="53"/>
    </row>
    <row r="7" spans="1:5" x14ac:dyDescent="0.25">
      <c r="B7" s="53"/>
      <c r="C7" s="53"/>
      <c r="D7" s="53"/>
      <c r="E7" s="53"/>
    </row>
    <row r="8" spans="1:5" x14ac:dyDescent="0.25">
      <c r="B8" s="53"/>
      <c r="C8" s="53"/>
      <c r="D8" s="53"/>
      <c r="E8" s="53"/>
    </row>
  </sheetData>
  <mergeCells count="3">
    <mergeCell ref="A3:B3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F55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16" customWidth="1"/>
  </cols>
  <sheetData>
    <row r="1" spans="1:6" ht="31.95" customHeight="1" x14ac:dyDescent="0.25">
      <c r="A1" s="61" t="s">
        <v>37</v>
      </c>
      <c r="B1" s="53"/>
      <c r="C1" s="53"/>
      <c r="D1" s="53"/>
      <c r="E1" s="53"/>
      <c r="F1" s="53"/>
    </row>
    <row r="2" spans="1:6" ht="22.05" customHeight="1" x14ac:dyDescent="0.25">
      <c r="A2" s="5" t="s">
        <v>3</v>
      </c>
      <c r="B2" s="5" t="s">
        <v>38</v>
      </c>
      <c r="C2" s="5" t="s">
        <v>39</v>
      </c>
      <c r="D2" s="5" t="s">
        <v>40</v>
      </c>
      <c r="E2" s="5" t="s">
        <v>41</v>
      </c>
      <c r="F2" s="5" t="s">
        <v>2</v>
      </c>
    </row>
    <row r="3" spans="1:6" x14ac:dyDescent="0.25">
      <c r="A3" s="6" t="s">
        <v>42</v>
      </c>
      <c r="B3" s="7" t="s">
        <v>43</v>
      </c>
      <c r="C3" s="7" t="s">
        <v>44</v>
      </c>
      <c r="D3" s="8">
        <v>1</v>
      </c>
      <c r="E3" s="9">
        <f>D3*הגדרות!$B$4</f>
        <v>3.65</v>
      </c>
      <c r="F3" s="6" t="s">
        <v>8</v>
      </c>
    </row>
    <row r="4" spans="1:6" x14ac:dyDescent="0.25">
      <c r="A4" s="10" t="s">
        <v>45</v>
      </c>
      <c r="B4" s="11" t="s">
        <v>46</v>
      </c>
      <c r="C4" s="11" t="s">
        <v>47</v>
      </c>
      <c r="D4" s="12">
        <v>72</v>
      </c>
      <c r="E4" s="13">
        <f>D4*הגדרות!$B$4</f>
        <v>262.8</v>
      </c>
      <c r="F4" s="10" t="s">
        <v>8</v>
      </c>
    </row>
    <row r="5" spans="1:6" x14ac:dyDescent="0.25">
      <c r="A5" s="6" t="s">
        <v>48</v>
      </c>
      <c r="B5" s="7" t="s">
        <v>49</v>
      </c>
      <c r="C5" s="7" t="s">
        <v>50</v>
      </c>
      <c r="D5" s="8">
        <v>10.59</v>
      </c>
      <c r="E5" s="9">
        <f>D5*הגדרות!$B$4</f>
        <v>38.653500000000001</v>
      </c>
      <c r="F5" s="6" t="s">
        <v>8</v>
      </c>
    </row>
    <row r="6" spans="1:6" x14ac:dyDescent="0.25">
      <c r="A6" s="10" t="s">
        <v>51</v>
      </c>
      <c r="B6" s="11" t="s">
        <v>52</v>
      </c>
      <c r="C6" s="11" t="s">
        <v>53</v>
      </c>
      <c r="D6" s="12">
        <v>20</v>
      </c>
      <c r="E6" s="13">
        <f>D6*הגדרות!$B$4</f>
        <v>73</v>
      </c>
      <c r="F6" s="10" t="s">
        <v>8</v>
      </c>
    </row>
    <row r="7" spans="1:6" x14ac:dyDescent="0.25">
      <c r="A7" s="6" t="s">
        <v>54</v>
      </c>
      <c r="B7" s="7" t="s">
        <v>55</v>
      </c>
      <c r="C7" s="7" t="s">
        <v>56</v>
      </c>
      <c r="D7" s="8">
        <v>13.5</v>
      </c>
      <c r="E7" s="9">
        <f>D7*הגדרות!$B$4</f>
        <v>49.274999999999999</v>
      </c>
      <c r="F7" s="6" t="s">
        <v>8</v>
      </c>
    </row>
    <row r="8" spans="1:6" x14ac:dyDescent="0.25">
      <c r="A8" s="10" t="s">
        <v>57</v>
      </c>
      <c r="B8" s="11" t="s">
        <v>58</v>
      </c>
      <c r="C8" s="11" t="s">
        <v>59</v>
      </c>
      <c r="D8" s="12">
        <v>10</v>
      </c>
      <c r="E8" s="13">
        <f>D8*הגדרות!$B$4</f>
        <v>36.5</v>
      </c>
      <c r="F8" s="10" t="s">
        <v>8</v>
      </c>
    </row>
    <row r="9" spans="1:6" x14ac:dyDescent="0.25">
      <c r="A9" s="6" t="s">
        <v>57</v>
      </c>
      <c r="B9" s="7" t="s">
        <v>46</v>
      </c>
      <c r="C9" s="7" t="s">
        <v>60</v>
      </c>
      <c r="D9" s="8">
        <v>113.14</v>
      </c>
      <c r="E9" s="9">
        <f>D9*הגדרות!$B$4</f>
        <v>412.96100000000001</v>
      </c>
      <c r="F9" s="6" t="s">
        <v>8</v>
      </c>
    </row>
    <row r="10" spans="1:6" x14ac:dyDescent="0.25">
      <c r="A10" s="10" t="s">
        <v>61</v>
      </c>
      <c r="B10" s="11" t="s">
        <v>55</v>
      </c>
      <c r="C10" s="11" t="s">
        <v>62</v>
      </c>
      <c r="D10" s="12">
        <v>15</v>
      </c>
      <c r="E10" s="13">
        <f>D10*הגדרות!$B$4</f>
        <v>54.75</v>
      </c>
      <c r="F10" s="10" t="s">
        <v>10</v>
      </c>
    </row>
    <row r="11" spans="1:6" x14ac:dyDescent="0.25">
      <c r="A11" s="6" t="s">
        <v>63</v>
      </c>
      <c r="B11" s="7" t="s">
        <v>43</v>
      </c>
      <c r="C11" s="7" t="s">
        <v>64</v>
      </c>
      <c r="D11" s="8">
        <v>12</v>
      </c>
      <c r="E11" s="9">
        <f>D11*הגדרות!$B$4</f>
        <v>43.8</v>
      </c>
      <c r="F11" s="6" t="s">
        <v>10</v>
      </c>
    </row>
    <row r="12" spans="1:6" x14ac:dyDescent="0.25">
      <c r="A12" s="10" t="s">
        <v>65</v>
      </c>
      <c r="B12" s="11" t="s">
        <v>58</v>
      </c>
      <c r="C12" s="11" t="s">
        <v>66</v>
      </c>
      <c r="D12" s="12">
        <v>0.9</v>
      </c>
      <c r="E12" s="13">
        <f>D12*הגדרות!$B$4</f>
        <v>3.2850000000000001</v>
      </c>
      <c r="F12" s="10" t="s">
        <v>10</v>
      </c>
    </row>
    <row r="13" spans="1:6" x14ac:dyDescent="0.25">
      <c r="A13" s="6" t="s">
        <v>67</v>
      </c>
      <c r="B13" s="7" t="s">
        <v>68</v>
      </c>
      <c r="C13" s="7" t="s">
        <v>64</v>
      </c>
      <c r="D13" s="8">
        <v>19</v>
      </c>
      <c r="E13" s="9">
        <f>D13*הגדרות!$B$4</f>
        <v>69.349999999999994</v>
      </c>
      <c r="F13" s="6" t="s">
        <v>10</v>
      </c>
    </row>
    <row r="14" spans="1:6" x14ac:dyDescent="0.25">
      <c r="A14" s="10" t="s">
        <v>69</v>
      </c>
      <c r="B14" s="11" t="s">
        <v>49</v>
      </c>
      <c r="C14" s="11" t="s">
        <v>50</v>
      </c>
      <c r="D14" s="12">
        <v>10.59</v>
      </c>
      <c r="E14" s="13">
        <f>D14*הגדרות!$B$4</f>
        <v>38.653500000000001</v>
      </c>
      <c r="F14" s="10" t="s">
        <v>10</v>
      </c>
    </row>
    <row r="15" spans="1:6" x14ac:dyDescent="0.25">
      <c r="A15" s="6" t="s">
        <v>70</v>
      </c>
      <c r="B15" s="7" t="s">
        <v>52</v>
      </c>
      <c r="C15" s="7" t="s">
        <v>53</v>
      </c>
      <c r="D15" s="8">
        <v>20</v>
      </c>
      <c r="E15" s="9">
        <f>D15*הגדרות!$B$4</f>
        <v>73</v>
      </c>
      <c r="F15" s="6" t="s">
        <v>10</v>
      </c>
    </row>
    <row r="16" spans="1:6" x14ac:dyDescent="0.25">
      <c r="A16" s="10" t="s">
        <v>71</v>
      </c>
      <c r="B16" s="11" t="s">
        <v>55</v>
      </c>
      <c r="C16" s="11" t="s">
        <v>72</v>
      </c>
      <c r="D16" s="12">
        <v>11.25</v>
      </c>
      <c r="E16" s="13">
        <f>D16*הגדרות!$B$4</f>
        <v>41.0625</v>
      </c>
      <c r="F16" s="10" t="s">
        <v>10</v>
      </c>
    </row>
    <row r="17" spans="1:6" x14ac:dyDescent="0.25">
      <c r="A17" s="6" t="s">
        <v>71</v>
      </c>
      <c r="B17" s="7" t="s">
        <v>73</v>
      </c>
      <c r="C17" s="7" t="s">
        <v>74</v>
      </c>
      <c r="D17" s="8">
        <v>5</v>
      </c>
      <c r="E17" s="9">
        <f>D17*הגדרות!$B$4</f>
        <v>18.25</v>
      </c>
      <c r="F17" s="6" t="s">
        <v>10</v>
      </c>
    </row>
    <row r="18" spans="1:6" x14ac:dyDescent="0.25">
      <c r="A18" s="10" t="s">
        <v>75</v>
      </c>
      <c r="B18" s="11" t="s">
        <v>58</v>
      </c>
      <c r="C18" s="11" t="s">
        <v>76</v>
      </c>
      <c r="D18" s="12">
        <v>2.79</v>
      </c>
      <c r="E18" s="13">
        <f>D18*הגדרות!$B$4</f>
        <v>10.1835</v>
      </c>
      <c r="F18" s="10" t="s">
        <v>12</v>
      </c>
    </row>
    <row r="19" spans="1:6" x14ac:dyDescent="0.25">
      <c r="A19" s="6" t="s">
        <v>77</v>
      </c>
      <c r="B19" s="7" t="s">
        <v>49</v>
      </c>
      <c r="C19" s="7" t="s">
        <v>50</v>
      </c>
      <c r="D19" s="8">
        <v>10.59</v>
      </c>
      <c r="E19" s="9">
        <f>D19*הגדרות!$B$4</f>
        <v>38.653500000000001</v>
      </c>
      <c r="F19" s="6" t="s">
        <v>12</v>
      </c>
    </row>
    <row r="20" spans="1:6" x14ac:dyDescent="0.25">
      <c r="A20" s="10" t="s">
        <v>78</v>
      </c>
      <c r="B20" s="11" t="s">
        <v>52</v>
      </c>
      <c r="C20" s="11" t="s">
        <v>53</v>
      </c>
      <c r="D20" s="12">
        <v>20</v>
      </c>
      <c r="E20" s="13">
        <f>D20*הגדרות!$B$4</f>
        <v>73</v>
      </c>
      <c r="F20" s="10" t="s">
        <v>12</v>
      </c>
    </row>
    <row r="21" spans="1:6" x14ac:dyDescent="0.25">
      <c r="A21" s="6" t="s">
        <v>79</v>
      </c>
      <c r="B21" s="7" t="s">
        <v>73</v>
      </c>
      <c r="C21" s="7" t="s">
        <v>74</v>
      </c>
      <c r="D21" s="8">
        <v>5</v>
      </c>
      <c r="E21" s="9">
        <f>D21*הגדרות!$B$4</f>
        <v>18.25</v>
      </c>
      <c r="F21" s="6" t="s">
        <v>12</v>
      </c>
    </row>
    <row r="22" spans="1:6" x14ac:dyDescent="0.25">
      <c r="A22" s="10" t="s">
        <v>80</v>
      </c>
      <c r="B22" s="11" t="s">
        <v>52</v>
      </c>
      <c r="C22" s="11" t="s">
        <v>53</v>
      </c>
      <c r="D22" s="12">
        <v>20</v>
      </c>
      <c r="E22" s="13">
        <f>D22*הגדרות!$B$4</f>
        <v>73</v>
      </c>
      <c r="F22" s="10" t="s">
        <v>14</v>
      </c>
    </row>
    <row r="23" spans="1:6" x14ac:dyDescent="0.25">
      <c r="A23" s="6" t="s">
        <v>81</v>
      </c>
      <c r="B23" s="7" t="s">
        <v>73</v>
      </c>
      <c r="C23" s="7" t="s">
        <v>74</v>
      </c>
      <c r="D23" s="8">
        <v>5</v>
      </c>
      <c r="E23" s="9">
        <f>D23*הגדרות!$B$4</f>
        <v>18.25</v>
      </c>
      <c r="F23" s="6" t="s">
        <v>14</v>
      </c>
    </row>
    <row r="24" spans="1:6" x14ac:dyDescent="0.25">
      <c r="A24" s="10" t="s">
        <v>82</v>
      </c>
      <c r="B24" s="11" t="s">
        <v>43</v>
      </c>
      <c r="C24" s="11" t="s">
        <v>83</v>
      </c>
      <c r="D24" s="12">
        <v>12</v>
      </c>
      <c r="E24" s="13">
        <f>D24*הגדרות!$B$4</f>
        <v>43.8</v>
      </c>
      <c r="F24" s="10" t="s">
        <v>16</v>
      </c>
    </row>
    <row r="25" spans="1:6" x14ac:dyDescent="0.25">
      <c r="A25" s="6" t="s">
        <v>84</v>
      </c>
      <c r="B25" s="7" t="s">
        <v>85</v>
      </c>
      <c r="C25" s="7" t="s">
        <v>86</v>
      </c>
      <c r="D25" s="8">
        <v>11.8</v>
      </c>
      <c r="E25" s="9">
        <f>D25*הגדרות!$B$4</f>
        <v>43.07</v>
      </c>
      <c r="F25" s="6" t="s">
        <v>16</v>
      </c>
    </row>
    <row r="26" spans="1:6" x14ac:dyDescent="0.25">
      <c r="A26" s="10" t="s">
        <v>84</v>
      </c>
      <c r="B26" s="11" t="s">
        <v>55</v>
      </c>
      <c r="C26" s="11" t="s">
        <v>87</v>
      </c>
      <c r="D26" s="12">
        <v>15</v>
      </c>
      <c r="E26" s="13">
        <f>D26*הגדרות!$B$4</f>
        <v>54.75</v>
      </c>
      <c r="F26" s="10" t="s">
        <v>16</v>
      </c>
    </row>
    <row r="27" spans="1:6" x14ac:dyDescent="0.25">
      <c r="A27" s="6" t="s">
        <v>88</v>
      </c>
      <c r="B27" s="7" t="s">
        <v>89</v>
      </c>
      <c r="C27" s="7" t="s">
        <v>90</v>
      </c>
      <c r="D27" s="8">
        <v>10</v>
      </c>
      <c r="E27" s="9">
        <f>D27*הגדרות!$B$4</f>
        <v>36.5</v>
      </c>
      <c r="F27" s="6" t="s">
        <v>16</v>
      </c>
    </row>
    <row r="28" spans="1:6" x14ac:dyDescent="0.25">
      <c r="A28" s="10" t="s">
        <v>91</v>
      </c>
      <c r="B28" s="11" t="s">
        <v>52</v>
      </c>
      <c r="C28" s="11" t="s">
        <v>53</v>
      </c>
      <c r="D28" s="12">
        <v>20</v>
      </c>
      <c r="E28" s="13">
        <f>D28*הגדרות!$B$4</f>
        <v>73</v>
      </c>
      <c r="F28" s="10" t="s">
        <v>16</v>
      </c>
    </row>
    <row r="29" spans="1:6" x14ac:dyDescent="0.25">
      <c r="A29" s="6" t="s">
        <v>92</v>
      </c>
      <c r="B29" s="7" t="s">
        <v>73</v>
      </c>
      <c r="C29" s="7" t="s">
        <v>74</v>
      </c>
      <c r="D29" s="8">
        <v>5</v>
      </c>
      <c r="E29" s="9">
        <f>D29*הגדרות!$B$4</f>
        <v>18.25</v>
      </c>
      <c r="F29" s="6" t="s">
        <v>16</v>
      </c>
    </row>
    <row r="30" spans="1:6" x14ac:dyDescent="0.25">
      <c r="A30" s="10" t="s">
        <v>93</v>
      </c>
      <c r="B30" s="11" t="s">
        <v>94</v>
      </c>
      <c r="C30" s="11" t="s">
        <v>95</v>
      </c>
      <c r="D30" s="12">
        <v>15</v>
      </c>
      <c r="E30" s="13">
        <f>D30*הגדרות!$B$4</f>
        <v>54.75</v>
      </c>
      <c r="F30" s="10" t="s">
        <v>18</v>
      </c>
    </row>
    <row r="31" spans="1:6" x14ac:dyDescent="0.25">
      <c r="A31" s="6" t="s">
        <v>96</v>
      </c>
      <c r="B31" s="7" t="s">
        <v>73</v>
      </c>
      <c r="C31" s="7" t="s">
        <v>74</v>
      </c>
      <c r="D31" s="8">
        <v>5</v>
      </c>
      <c r="E31" s="9">
        <f>D31*הגדרות!$B$4</f>
        <v>18.25</v>
      </c>
      <c r="F31" s="6" t="s">
        <v>18</v>
      </c>
    </row>
    <row r="32" spans="1:6" x14ac:dyDescent="0.25">
      <c r="A32" s="10" t="s">
        <v>97</v>
      </c>
      <c r="B32" s="11" t="s">
        <v>98</v>
      </c>
      <c r="C32" s="11" t="s">
        <v>99</v>
      </c>
      <c r="D32" s="12">
        <v>139.91999999999999</v>
      </c>
      <c r="E32" s="13">
        <f>D32*הגדרות!$B$4</f>
        <v>510.70799999999997</v>
      </c>
      <c r="F32" s="10" t="s">
        <v>20</v>
      </c>
    </row>
    <row r="33" spans="1:6" x14ac:dyDescent="0.25">
      <c r="A33" s="6" t="s">
        <v>97</v>
      </c>
      <c r="B33" s="7" t="s">
        <v>94</v>
      </c>
      <c r="C33" s="7" t="s">
        <v>95</v>
      </c>
      <c r="D33" s="8">
        <v>15</v>
      </c>
      <c r="E33" s="9">
        <f>D33*הגדרות!$B$4</f>
        <v>54.75</v>
      </c>
      <c r="F33" s="6" t="s">
        <v>20</v>
      </c>
    </row>
    <row r="34" spans="1:6" x14ac:dyDescent="0.25">
      <c r="A34" s="10" t="s">
        <v>100</v>
      </c>
      <c r="B34" s="11" t="s">
        <v>98</v>
      </c>
      <c r="C34" s="11" t="s">
        <v>101</v>
      </c>
      <c r="D34" s="12">
        <v>20</v>
      </c>
      <c r="E34" s="13">
        <f>D34*הגדרות!$B$4</f>
        <v>73</v>
      </c>
      <c r="F34" s="10" t="s">
        <v>20</v>
      </c>
    </row>
    <row r="35" spans="1:6" x14ac:dyDescent="0.25">
      <c r="A35" s="6" t="s">
        <v>102</v>
      </c>
      <c r="B35" s="7" t="s">
        <v>98</v>
      </c>
      <c r="C35" s="7" t="s">
        <v>101</v>
      </c>
      <c r="D35" s="8">
        <v>20</v>
      </c>
      <c r="E35" s="9">
        <f>D35*הגדרות!$B$4</f>
        <v>73</v>
      </c>
      <c r="F35" s="6" t="s">
        <v>20</v>
      </c>
    </row>
    <row r="36" spans="1:6" x14ac:dyDescent="0.25">
      <c r="A36" s="10" t="s">
        <v>103</v>
      </c>
      <c r="B36" s="11" t="s">
        <v>104</v>
      </c>
      <c r="C36" s="11" t="s">
        <v>105</v>
      </c>
      <c r="D36" s="12">
        <v>14.5</v>
      </c>
      <c r="E36" s="13">
        <f>D36*הגדרות!$B$4</f>
        <v>52.924999999999997</v>
      </c>
      <c r="F36" s="10" t="s">
        <v>20</v>
      </c>
    </row>
    <row r="37" spans="1:6" x14ac:dyDescent="0.25">
      <c r="A37" s="6" t="s">
        <v>103</v>
      </c>
      <c r="B37" s="7" t="s">
        <v>73</v>
      </c>
      <c r="C37" s="7" t="s">
        <v>74</v>
      </c>
      <c r="D37" s="8">
        <v>5</v>
      </c>
      <c r="E37" s="9">
        <f>D37*הגדרות!$B$4</f>
        <v>18.25</v>
      </c>
      <c r="F37" s="6" t="s">
        <v>20</v>
      </c>
    </row>
    <row r="38" spans="1:6" x14ac:dyDescent="0.25">
      <c r="A38" s="10" t="s">
        <v>106</v>
      </c>
      <c r="B38" s="11" t="s">
        <v>107</v>
      </c>
      <c r="C38" s="11" t="s">
        <v>108</v>
      </c>
      <c r="D38" s="12">
        <v>25</v>
      </c>
      <c r="E38" s="13">
        <f>D38*הגדרות!$B$4</f>
        <v>91.25</v>
      </c>
      <c r="F38" s="10" t="s">
        <v>22</v>
      </c>
    </row>
    <row r="39" spans="1:6" x14ac:dyDescent="0.25">
      <c r="A39" s="6" t="s">
        <v>109</v>
      </c>
      <c r="B39" s="7" t="s">
        <v>52</v>
      </c>
      <c r="C39" s="7" t="s">
        <v>53</v>
      </c>
      <c r="D39" s="8">
        <v>20</v>
      </c>
      <c r="E39" s="9">
        <f>D39*הגדרות!$B$4</f>
        <v>73</v>
      </c>
      <c r="F39" s="6" t="s">
        <v>22</v>
      </c>
    </row>
    <row r="40" spans="1:6" x14ac:dyDescent="0.25">
      <c r="A40" s="10" t="s">
        <v>110</v>
      </c>
      <c r="B40" s="11" t="s">
        <v>52</v>
      </c>
      <c r="C40" s="11" t="s">
        <v>111</v>
      </c>
      <c r="D40" s="12">
        <v>5</v>
      </c>
      <c r="E40" s="13">
        <f>D40*הגדרות!$B$4</f>
        <v>18.25</v>
      </c>
      <c r="F40" s="10" t="s">
        <v>22</v>
      </c>
    </row>
    <row r="41" spans="1:6" x14ac:dyDescent="0.25">
      <c r="A41" s="6" t="s">
        <v>112</v>
      </c>
      <c r="B41" s="7" t="s">
        <v>113</v>
      </c>
      <c r="C41" s="7" t="s">
        <v>114</v>
      </c>
      <c r="D41" s="8">
        <v>51</v>
      </c>
      <c r="E41" s="9">
        <f>D41*הגדרות!$B$4</f>
        <v>186.15</v>
      </c>
      <c r="F41" s="6" t="s">
        <v>22</v>
      </c>
    </row>
    <row r="42" spans="1:6" x14ac:dyDescent="0.25">
      <c r="A42" s="10" t="s">
        <v>112</v>
      </c>
      <c r="B42" s="11" t="s">
        <v>107</v>
      </c>
      <c r="C42" s="11" t="s">
        <v>115</v>
      </c>
      <c r="D42" s="12">
        <v>50</v>
      </c>
      <c r="E42" s="13">
        <f>D42*הגדרות!$B$4</f>
        <v>182.5</v>
      </c>
      <c r="F42" s="10" t="s">
        <v>22</v>
      </c>
    </row>
    <row r="43" spans="1:6" x14ac:dyDescent="0.25">
      <c r="A43" s="6" t="s">
        <v>116</v>
      </c>
      <c r="B43" s="7" t="s">
        <v>73</v>
      </c>
      <c r="C43" s="7" t="s">
        <v>74</v>
      </c>
      <c r="D43" s="8">
        <v>5</v>
      </c>
      <c r="E43" s="9">
        <f>D43*הגדרות!$B$4</f>
        <v>18.25</v>
      </c>
      <c r="F43" s="6" t="s">
        <v>22</v>
      </c>
    </row>
    <row r="44" spans="1:6" x14ac:dyDescent="0.25">
      <c r="A44" s="10" t="s">
        <v>117</v>
      </c>
      <c r="B44" s="11" t="s">
        <v>104</v>
      </c>
      <c r="C44" s="11" t="s">
        <v>105</v>
      </c>
      <c r="D44" s="12">
        <v>14.5</v>
      </c>
      <c r="E44" s="13">
        <f>D44*הגדרות!$B$4</f>
        <v>52.924999999999997</v>
      </c>
      <c r="F44" s="10" t="s">
        <v>24</v>
      </c>
    </row>
    <row r="45" spans="1:6" x14ac:dyDescent="0.25">
      <c r="A45" s="6" t="s">
        <v>118</v>
      </c>
      <c r="B45" s="7" t="s">
        <v>113</v>
      </c>
      <c r="C45" s="7" t="s">
        <v>114</v>
      </c>
      <c r="D45" s="8">
        <v>40.11</v>
      </c>
      <c r="E45" s="9">
        <f>D45*הגדרות!$B$4</f>
        <v>146.4015</v>
      </c>
      <c r="F45" s="6" t="s">
        <v>24</v>
      </c>
    </row>
    <row r="46" spans="1:6" x14ac:dyDescent="0.25">
      <c r="A46" s="10" t="s">
        <v>119</v>
      </c>
      <c r="B46" s="11" t="s">
        <v>113</v>
      </c>
      <c r="C46" s="11" t="s">
        <v>114</v>
      </c>
      <c r="D46" s="12">
        <v>51</v>
      </c>
      <c r="E46" s="13">
        <f>D46*הגדרות!$B$4</f>
        <v>186.15</v>
      </c>
      <c r="F46" s="10" t="s">
        <v>24</v>
      </c>
    </row>
    <row r="47" spans="1:6" x14ac:dyDescent="0.25">
      <c r="A47" s="6" t="s">
        <v>120</v>
      </c>
      <c r="B47" s="7" t="s">
        <v>52</v>
      </c>
      <c r="C47" s="7" t="s">
        <v>53</v>
      </c>
      <c r="D47" s="8">
        <v>20</v>
      </c>
      <c r="E47" s="9">
        <f>D47*הגדרות!$B$4</f>
        <v>73</v>
      </c>
      <c r="F47" s="6" t="s">
        <v>24</v>
      </c>
    </row>
    <row r="48" spans="1:6" x14ac:dyDescent="0.25">
      <c r="A48" s="10" t="s">
        <v>121</v>
      </c>
      <c r="B48" s="11" t="s">
        <v>52</v>
      </c>
      <c r="C48" s="11" t="s">
        <v>111</v>
      </c>
      <c r="D48" s="12">
        <v>10</v>
      </c>
      <c r="E48" s="13">
        <f>D48*הגדרות!$B$4</f>
        <v>36.5</v>
      </c>
      <c r="F48" s="10" t="s">
        <v>24</v>
      </c>
    </row>
    <row r="49" spans="1:6" x14ac:dyDescent="0.25">
      <c r="A49" s="6" t="s">
        <v>121</v>
      </c>
      <c r="B49" s="7" t="s">
        <v>73</v>
      </c>
      <c r="C49" s="7" t="s">
        <v>122</v>
      </c>
      <c r="D49" s="8">
        <v>11</v>
      </c>
      <c r="E49" s="9">
        <f>D49*הגדרות!$B$4</f>
        <v>40.15</v>
      </c>
      <c r="F49" s="6" t="s">
        <v>24</v>
      </c>
    </row>
    <row r="50" spans="1:6" x14ac:dyDescent="0.25">
      <c r="A50" s="10" t="s">
        <v>123</v>
      </c>
      <c r="B50" s="11" t="s">
        <v>107</v>
      </c>
      <c r="C50" s="11" t="s">
        <v>124</v>
      </c>
      <c r="D50" s="12">
        <v>5</v>
      </c>
      <c r="E50" s="13">
        <f>D50*הגדרות!$B$4</f>
        <v>18.25</v>
      </c>
      <c r="F50" s="10" t="s">
        <v>24</v>
      </c>
    </row>
    <row r="51" spans="1:6" x14ac:dyDescent="0.25">
      <c r="A51" s="6" t="s">
        <v>125</v>
      </c>
      <c r="B51" s="7" t="s">
        <v>52</v>
      </c>
      <c r="C51" s="7" t="s">
        <v>53</v>
      </c>
      <c r="D51" s="8">
        <v>20</v>
      </c>
      <c r="E51" s="9">
        <f>D51*הגדרות!$B$4</f>
        <v>73</v>
      </c>
      <c r="F51" s="6" t="s">
        <v>26</v>
      </c>
    </row>
    <row r="52" spans="1:6" x14ac:dyDescent="0.25">
      <c r="A52" s="10" t="s">
        <v>125</v>
      </c>
      <c r="B52" s="11" t="s">
        <v>52</v>
      </c>
      <c r="C52" s="11" t="s">
        <v>111</v>
      </c>
      <c r="D52" s="12">
        <v>5</v>
      </c>
      <c r="E52" s="13">
        <f>D52*הגדרות!$B$4</f>
        <v>18.25</v>
      </c>
      <c r="F52" s="10" t="s">
        <v>26</v>
      </c>
    </row>
    <row r="53" spans="1:6" x14ac:dyDescent="0.25">
      <c r="A53" s="6" t="s">
        <v>126</v>
      </c>
      <c r="B53" s="7" t="s">
        <v>113</v>
      </c>
      <c r="C53" s="7" t="s">
        <v>114</v>
      </c>
      <c r="D53" s="8">
        <v>2.25</v>
      </c>
      <c r="E53" s="9">
        <f>D53*הגדרות!$B$4</f>
        <v>8.2125000000000004</v>
      </c>
      <c r="F53" s="6" t="s">
        <v>26</v>
      </c>
    </row>
    <row r="54" spans="1:6" x14ac:dyDescent="0.25">
      <c r="A54" s="10" t="s">
        <v>127</v>
      </c>
      <c r="B54" s="11" t="s">
        <v>128</v>
      </c>
      <c r="C54" s="11" t="s">
        <v>129</v>
      </c>
      <c r="D54" s="12">
        <v>20</v>
      </c>
      <c r="E54" s="13">
        <f>D54*הגדרות!$B$4</f>
        <v>73</v>
      </c>
      <c r="F54" s="10" t="s">
        <v>26</v>
      </c>
    </row>
    <row r="55" spans="1:6" x14ac:dyDescent="0.25">
      <c r="A55" s="62" t="s">
        <v>130</v>
      </c>
      <c r="B55" s="63"/>
      <c r="C55" s="63"/>
      <c r="D55" s="16">
        <f>SUM(D3:D54)</f>
        <v>1060.4299999999998</v>
      </c>
      <c r="E55" s="17">
        <f>SUM(E3:E54)</f>
        <v>3870.5695000000005</v>
      </c>
      <c r="F55" s="15"/>
    </row>
  </sheetData>
  <mergeCells count="2">
    <mergeCell ref="A1:F1"/>
    <mergeCell ref="A55:C5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F11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131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42</v>
      </c>
      <c r="B4" s="11" t="s">
        <v>43</v>
      </c>
      <c r="C4" s="11" t="s">
        <v>44</v>
      </c>
      <c r="D4" s="20">
        <v>1</v>
      </c>
      <c r="E4" s="21">
        <f>D4*הגדרות!$B$4</f>
        <v>3.65</v>
      </c>
      <c r="F4" s="19"/>
    </row>
    <row r="5" spans="1:6" x14ac:dyDescent="0.25">
      <c r="A5" s="6" t="s">
        <v>45</v>
      </c>
      <c r="B5" s="7" t="s">
        <v>46</v>
      </c>
      <c r="C5" s="7" t="s">
        <v>47</v>
      </c>
      <c r="D5" s="22">
        <v>72</v>
      </c>
      <c r="E5" s="23">
        <f>D5*הגדרות!$B$4</f>
        <v>262.8</v>
      </c>
      <c r="F5" s="24"/>
    </row>
    <row r="6" spans="1:6" x14ac:dyDescent="0.25">
      <c r="A6" s="10" t="s">
        <v>48</v>
      </c>
      <c r="B6" s="11" t="s">
        <v>49</v>
      </c>
      <c r="C6" s="11" t="s">
        <v>50</v>
      </c>
      <c r="D6" s="20">
        <v>10.59</v>
      </c>
      <c r="E6" s="21">
        <f>D6*הגדרות!$B$4</f>
        <v>38.653500000000001</v>
      </c>
      <c r="F6" s="19"/>
    </row>
    <row r="7" spans="1:6" x14ac:dyDescent="0.25">
      <c r="A7" s="6" t="s">
        <v>51</v>
      </c>
      <c r="B7" s="7" t="s">
        <v>52</v>
      </c>
      <c r="C7" s="7" t="s">
        <v>53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54</v>
      </c>
      <c r="B8" s="11" t="s">
        <v>55</v>
      </c>
      <c r="C8" s="11" t="s">
        <v>56</v>
      </c>
      <c r="D8" s="20">
        <v>13.5</v>
      </c>
      <c r="E8" s="21">
        <f>D8*הגדרות!$B$4</f>
        <v>49.274999999999999</v>
      </c>
      <c r="F8" s="19"/>
    </row>
    <row r="9" spans="1:6" x14ac:dyDescent="0.25">
      <c r="A9" s="6" t="s">
        <v>57</v>
      </c>
      <c r="B9" s="7" t="s">
        <v>58</v>
      </c>
      <c r="C9" s="7" t="s">
        <v>59</v>
      </c>
      <c r="D9" s="22">
        <v>10</v>
      </c>
      <c r="E9" s="23">
        <f>D9*הגדרות!$B$4</f>
        <v>36.5</v>
      </c>
      <c r="F9" s="24"/>
    </row>
    <row r="10" spans="1:6" x14ac:dyDescent="0.25">
      <c r="A10" s="10" t="s">
        <v>57</v>
      </c>
      <c r="B10" s="11" t="s">
        <v>46</v>
      </c>
      <c r="C10" s="11" t="s">
        <v>60</v>
      </c>
      <c r="D10" s="20">
        <v>113.14</v>
      </c>
      <c r="E10" s="21">
        <f>D10*הגדרות!$B$4</f>
        <v>412.96100000000001</v>
      </c>
      <c r="F10" s="19"/>
    </row>
    <row r="11" spans="1:6" ht="24" customHeight="1" x14ac:dyDescent="0.25">
      <c r="A11" s="65" t="s">
        <v>133</v>
      </c>
      <c r="B11" s="58"/>
      <c r="C11" s="58"/>
      <c r="D11" s="16">
        <f>SUM(D4:D10)</f>
        <v>240.23000000000002</v>
      </c>
      <c r="E11" s="17">
        <f>SUM(E4:E10)</f>
        <v>876.83950000000004</v>
      </c>
      <c r="F11" s="26"/>
    </row>
  </sheetData>
  <mergeCells count="2">
    <mergeCell ref="A1:F1"/>
    <mergeCell ref="A11:C11"/>
  </mergeCells>
  <hyperlinks>
    <hyperlink ref="A2" location="'סיכום חודשי'!A1" display="← חזרה לסיכום חודשי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DC3E6"/>
  </sheetPr>
  <dimension ref="A1:F12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134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61</v>
      </c>
      <c r="B4" s="11" t="s">
        <v>55</v>
      </c>
      <c r="C4" s="11" t="s">
        <v>62</v>
      </c>
      <c r="D4" s="20">
        <v>15</v>
      </c>
      <c r="E4" s="21">
        <f>D4*הגדרות!$B$4</f>
        <v>54.75</v>
      </c>
      <c r="F4" s="19"/>
    </row>
    <row r="5" spans="1:6" x14ac:dyDescent="0.25">
      <c r="A5" s="6" t="s">
        <v>63</v>
      </c>
      <c r="B5" s="7" t="s">
        <v>43</v>
      </c>
      <c r="C5" s="7" t="s">
        <v>64</v>
      </c>
      <c r="D5" s="22">
        <v>12</v>
      </c>
      <c r="E5" s="23">
        <f>D5*הגדרות!$B$4</f>
        <v>43.8</v>
      </c>
      <c r="F5" s="24"/>
    </row>
    <row r="6" spans="1:6" x14ac:dyDescent="0.25">
      <c r="A6" s="10" t="s">
        <v>65</v>
      </c>
      <c r="B6" s="11" t="s">
        <v>58</v>
      </c>
      <c r="C6" s="11" t="s">
        <v>66</v>
      </c>
      <c r="D6" s="20">
        <v>0.9</v>
      </c>
      <c r="E6" s="21">
        <f>D6*הגדרות!$B$4</f>
        <v>3.2850000000000001</v>
      </c>
      <c r="F6" s="19"/>
    </row>
    <row r="7" spans="1:6" x14ac:dyDescent="0.25">
      <c r="A7" s="6" t="s">
        <v>67</v>
      </c>
      <c r="B7" s="7" t="s">
        <v>68</v>
      </c>
      <c r="C7" s="7" t="s">
        <v>64</v>
      </c>
      <c r="D7" s="22">
        <v>19</v>
      </c>
      <c r="E7" s="23">
        <f>D7*הגדרות!$B$4</f>
        <v>69.349999999999994</v>
      </c>
      <c r="F7" s="24"/>
    </row>
    <row r="8" spans="1:6" x14ac:dyDescent="0.25">
      <c r="A8" s="10" t="s">
        <v>69</v>
      </c>
      <c r="B8" s="11" t="s">
        <v>49</v>
      </c>
      <c r="C8" s="11" t="s">
        <v>50</v>
      </c>
      <c r="D8" s="20">
        <v>10.59</v>
      </c>
      <c r="E8" s="21">
        <f>D8*הגדרות!$B$4</f>
        <v>38.653500000000001</v>
      </c>
      <c r="F8" s="19"/>
    </row>
    <row r="9" spans="1:6" x14ac:dyDescent="0.25">
      <c r="A9" s="6" t="s">
        <v>70</v>
      </c>
      <c r="B9" s="7" t="s">
        <v>52</v>
      </c>
      <c r="C9" s="7" t="s">
        <v>53</v>
      </c>
      <c r="D9" s="22">
        <v>20</v>
      </c>
      <c r="E9" s="23">
        <f>D9*הגדרות!$B$4</f>
        <v>73</v>
      </c>
      <c r="F9" s="24"/>
    </row>
    <row r="10" spans="1:6" x14ac:dyDescent="0.25">
      <c r="A10" s="10" t="s">
        <v>71</v>
      </c>
      <c r="B10" s="11" t="s">
        <v>55</v>
      </c>
      <c r="C10" s="11" t="s">
        <v>72</v>
      </c>
      <c r="D10" s="20">
        <v>11.25</v>
      </c>
      <c r="E10" s="21">
        <f>D10*הגדרות!$B$4</f>
        <v>41.0625</v>
      </c>
      <c r="F10" s="19"/>
    </row>
    <row r="11" spans="1:6" x14ac:dyDescent="0.25">
      <c r="A11" s="6" t="s">
        <v>71</v>
      </c>
      <c r="B11" s="7" t="s">
        <v>73</v>
      </c>
      <c r="C11" s="7" t="s">
        <v>74</v>
      </c>
      <c r="D11" s="22">
        <v>5</v>
      </c>
      <c r="E11" s="23">
        <f>D11*הגדרות!$B$4</f>
        <v>18.25</v>
      </c>
      <c r="F11" s="24"/>
    </row>
    <row r="12" spans="1:6" ht="24" customHeight="1" x14ac:dyDescent="0.25">
      <c r="A12" s="65" t="s">
        <v>133</v>
      </c>
      <c r="B12" s="58"/>
      <c r="C12" s="58"/>
      <c r="D12" s="16">
        <f>SUM(D4:D11)</f>
        <v>93.74</v>
      </c>
      <c r="E12" s="17">
        <f>SUM(E4:E11)</f>
        <v>342.15100000000001</v>
      </c>
      <c r="F12" s="26"/>
    </row>
  </sheetData>
  <mergeCells count="2">
    <mergeCell ref="A12:C12"/>
    <mergeCell ref="A1:F1"/>
  </mergeCells>
  <hyperlinks>
    <hyperlink ref="A2" location="'סיכום חודשי'!A1" display="← חזרה לסיכום חודשי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DC3E6"/>
  </sheetPr>
  <dimension ref="A1:F8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135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75</v>
      </c>
      <c r="B4" s="11" t="s">
        <v>58</v>
      </c>
      <c r="C4" s="11" t="s">
        <v>76</v>
      </c>
      <c r="D4" s="20">
        <v>2.79</v>
      </c>
      <c r="E4" s="21">
        <f>D4*הגדרות!$B$4</f>
        <v>10.1835</v>
      </c>
      <c r="F4" s="19"/>
    </row>
    <row r="5" spans="1:6" x14ac:dyDescent="0.25">
      <c r="A5" s="6" t="s">
        <v>77</v>
      </c>
      <c r="B5" s="7" t="s">
        <v>49</v>
      </c>
      <c r="C5" s="7" t="s">
        <v>50</v>
      </c>
      <c r="D5" s="22">
        <v>10.59</v>
      </c>
      <c r="E5" s="23">
        <f>D5*הגדרות!$B$4</f>
        <v>38.653500000000001</v>
      </c>
      <c r="F5" s="24"/>
    </row>
    <row r="6" spans="1:6" x14ac:dyDescent="0.25">
      <c r="A6" s="10" t="s">
        <v>78</v>
      </c>
      <c r="B6" s="11" t="s">
        <v>52</v>
      </c>
      <c r="C6" s="11" t="s">
        <v>53</v>
      </c>
      <c r="D6" s="20">
        <v>20</v>
      </c>
      <c r="E6" s="21">
        <f>D6*הגדרות!$B$4</f>
        <v>73</v>
      </c>
      <c r="F6" s="19"/>
    </row>
    <row r="7" spans="1:6" x14ac:dyDescent="0.25">
      <c r="A7" s="6" t="s">
        <v>79</v>
      </c>
      <c r="B7" s="7" t="s">
        <v>73</v>
      </c>
      <c r="C7" s="7" t="s">
        <v>74</v>
      </c>
      <c r="D7" s="22">
        <v>5</v>
      </c>
      <c r="E7" s="23">
        <f>D7*הגדרות!$B$4</f>
        <v>18.25</v>
      </c>
      <c r="F7" s="24"/>
    </row>
    <row r="8" spans="1:6" ht="24" customHeight="1" x14ac:dyDescent="0.25">
      <c r="A8" s="65" t="s">
        <v>133</v>
      </c>
      <c r="B8" s="58"/>
      <c r="C8" s="58"/>
      <c r="D8" s="16">
        <f>SUM(D4:D7)</f>
        <v>38.379999999999995</v>
      </c>
      <c r="E8" s="17">
        <f>SUM(E4:E7)</f>
        <v>140.08699999999999</v>
      </c>
      <c r="F8" s="26"/>
    </row>
  </sheetData>
  <mergeCells count="2">
    <mergeCell ref="A8:C8"/>
    <mergeCell ref="A1:F1"/>
  </mergeCells>
  <hyperlinks>
    <hyperlink ref="A2" location="'סיכום חודשי'!A1" display="← חזרה לסיכום חודשי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136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80</v>
      </c>
      <c r="B4" s="11" t="s">
        <v>52</v>
      </c>
      <c r="C4" s="11" t="s">
        <v>53</v>
      </c>
      <c r="D4" s="20">
        <v>20</v>
      </c>
      <c r="E4" s="21">
        <f>D4*הגדרות!$B$4</f>
        <v>73</v>
      </c>
      <c r="F4" s="19"/>
    </row>
    <row r="5" spans="1:6" x14ac:dyDescent="0.25">
      <c r="A5" s="6" t="s">
        <v>81</v>
      </c>
      <c r="B5" s="7" t="s">
        <v>73</v>
      </c>
      <c r="C5" s="7" t="s">
        <v>74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133</v>
      </c>
      <c r="B6" s="58"/>
      <c r="C6" s="58"/>
      <c r="D6" s="16">
        <f>SUM(D4:D5)</f>
        <v>25</v>
      </c>
      <c r="E6" s="17">
        <f>SUM(E4:E5)</f>
        <v>91.25</v>
      </c>
      <c r="F6" s="26"/>
    </row>
  </sheetData>
  <mergeCells count="2">
    <mergeCell ref="A1:F1"/>
    <mergeCell ref="A6:C6"/>
  </mergeCells>
  <hyperlinks>
    <hyperlink ref="A2" location="'סיכום חודשי'!A1" display="← חזרה לסיכום חודשי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137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82</v>
      </c>
      <c r="B4" s="11" t="s">
        <v>43</v>
      </c>
      <c r="C4" s="11" t="s">
        <v>83</v>
      </c>
      <c r="D4" s="20">
        <v>12</v>
      </c>
      <c r="E4" s="21">
        <f>D4*הגדרות!$B$4</f>
        <v>43.8</v>
      </c>
      <c r="F4" s="19"/>
    </row>
    <row r="5" spans="1:6" x14ac:dyDescent="0.25">
      <c r="A5" s="6" t="s">
        <v>84</v>
      </c>
      <c r="B5" s="7" t="s">
        <v>85</v>
      </c>
      <c r="C5" s="7" t="s">
        <v>86</v>
      </c>
      <c r="D5" s="22">
        <v>11.8</v>
      </c>
      <c r="E5" s="23">
        <f>D5*הגדרות!$B$4</f>
        <v>43.07</v>
      </c>
      <c r="F5" s="24"/>
    </row>
    <row r="6" spans="1:6" x14ac:dyDescent="0.25">
      <c r="A6" s="10" t="s">
        <v>84</v>
      </c>
      <c r="B6" s="11" t="s">
        <v>55</v>
      </c>
      <c r="C6" s="11" t="s">
        <v>87</v>
      </c>
      <c r="D6" s="20">
        <v>15</v>
      </c>
      <c r="E6" s="21">
        <f>D6*הגדרות!$B$4</f>
        <v>54.75</v>
      </c>
      <c r="F6" s="19"/>
    </row>
    <row r="7" spans="1:6" x14ac:dyDescent="0.25">
      <c r="A7" s="6" t="s">
        <v>88</v>
      </c>
      <c r="B7" s="7" t="s">
        <v>89</v>
      </c>
      <c r="C7" s="7" t="s">
        <v>90</v>
      </c>
      <c r="D7" s="22">
        <v>10</v>
      </c>
      <c r="E7" s="23">
        <f>D7*הגדרות!$B$4</f>
        <v>36.5</v>
      </c>
      <c r="F7" s="24"/>
    </row>
    <row r="8" spans="1:6" x14ac:dyDescent="0.25">
      <c r="A8" s="10" t="s">
        <v>91</v>
      </c>
      <c r="B8" s="11" t="s">
        <v>52</v>
      </c>
      <c r="C8" s="11" t="s">
        <v>53</v>
      </c>
      <c r="D8" s="20">
        <v>20</v>
      </c>
      <c r="E8" s="21">
        <f>D8*הגדרות!$B$4</f>
        <v>73</v>
      </c>
      <c r="F8" s="19"/>
    </row>
    <row r="9" spans="1:6" x14ac:dyDescent="0.25">
      <c r="A9" s="6" t="s">
        <v>92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133</v>
      </c>
      <c r="B10" s="58"/>
      <c r="C10" s="58"/>
      <c r="D10" s="16">
        <f>SUM(D4:D9)</f>
        <v>73.8</v>
      </c>
      <c r="E10" s="17">
        <f>SUM(E4:E9)</f>
        <v>269.37</v>
      </c>
      <c r="F10" s="26"/>
    </row>
  </sheetData>
  <mergeCells count="2">
    <mergeCell ref="A10:C10"/>
    <mergeCell ref="A1:F1"/>
  </mergeCells>
  <hyperlinks>
    <hyperlink ref="A2" location="'סיכום חודשי'!A1" display="← חזרה לסיכום חודשי" xr:uid="{00000000-0004-0000-0600-000000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138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93</v>
      </c>
      <c r="B4" s="11" t="s">
        <v>94</v>
      </c>
      <c r="C4" s="11" t="s">
        <v>95</v>
      </c>
      <c r="D4" s="20">
        <v>15</v>
      </c>
      <c r="E4" s="21">
        <f>D4*הגדרות!$B$4</f>
        <v>54.75</v>
      </c>
      <c r="F4" s="19"/>
    </row>
    <row r="5" spans="1:6" x14ac:dyDescent="0.25">
      <c r="A5" s="6" t="s">
        <v>96</v>
      </c>
      <c r="B5" s="7" t="s">
        <v>73</v>
      </c>
      <c r="C5" s="7" t="s">
        <v>74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133</v>
      </c>
      <c r="B6" s="58"/>
      <c r="C6" s="58"/>
      <c r="D6" s="16">
        <f>SUM(D4:D5)</f>
        <v>20</v>
      </c>
      <c r="E6" s="17">
        <f>SUM(E4:E5)</f>
        <v>73</v>
      </c>
      <c r="F6" s="26"/>
    </row>
  </sheetData>
  <mergeCells count="2">
    <mergeCell ref="A1:F1"/>
    <mergeCell ref="A6:C6"/>
  </mergeCells>
  <hyperlinks>
    <hyperlink ref="A2" location="'סיכום חודשי'!A1" display="← חזרה לסיכום חודשי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139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97</v>
      </c>
      <c r="B4" s="11" t="s">
        <v>98</v>
      </c>
      <c r="C4" s="11" t="s">
        <v>99</v>
      </c>
      <c r="D4" s="20">
        <v>139.91999999999999</v>
      </c>
      <c r="E4" s="21">
        <f>D4*הגדרות!$B$4</f>
        <v>510.70799999999997</v>
      </c>
      <c r="F4" s="19"/>
    </row>
    <row r="5" spans="1:6" x14ac:dyDescent="0.25">
      <c r="A5" s="6" t="s">
        <v>97</v>
      </c>
      <c r="B5" s="7" t="s">
        <v>94</v>
      </c>
      <c r="C5" s="7" t="s">
        <v>95</v>
      </c>
      <c r="D5" s="22">
        <v>15</v>
      </c>
      <c r="E5" s="23">
        <f>D5*הגדרות!$B$4</f>
        <v>54.75</v>
      </c>
      <c r="F5" s="24"/>
    </row>
    <row r="6" spans="1:6" x14ac:dyDescent="0.25">
      <c r="A6" s="10" t="s">
        <v>100</v>
      </c>
      <c r="B6" s="11" t="s">
        <v>98</v>
      </c>
      <c r="C6" s="11" t="s">
        <v>101</v>
      </c>
      <c r="D6" s="20">
        <v>20</v>
      </c>
      <c r="E6" s="21">
        <f>D6*הגדרות!$B$4</f>
        <v>73</v>
      </c>
      <c r="F6" s="19"/>
    </row>
    <row r="7" spans="1:6" x14ac:dyDescent="0.25">
      <c r="A7" s="6" t="s">
        <v>102</v>
      </c>
      <c r="B7" s="7" t="s">
        <v>98</v>
      </c>
      <c r="C7" s="7" t="s">
        <v>101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103</v>
      </c>
      <c r="B8" s="11" t="s">
        <v>104</v>
      </c>
      <c r="C8" s="11" t="s">
        <v>105</v>
      </c>
      <c r="D8" s="20">
        <v>14.5</v>
      </c>
      <c r="E8" s="21">
        <f>D8*הגדרות!$B$4</f>
        <v>52.924999999999997</v>
      </c>
      <c r="F8" s="19"/>
    </row>
    <row r="9" spans="1:6" x14ac:dyDescent="0.25">
      <c r="A9" s="6" t="s">
        <v>103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133</v>
      </c>
      <c r="B10" s="58"/>
      <c r="C10" s="58"/>
      <c r="D10" s="16">
        <f>SUM(D4:D9)</f>
        <v>214.42</v>
      </c>
      <c r="E10" s="17">
        <f>SUM(E4:E9)</f>
        <v>782.63299999999992</v>
      </c>
      <c r="F10" s="26"/>
    </row>
  </sheetData>
  <mergeCells count="2">
    <mergeCell ref="A10:C10"/>
    <mergeCell ref="A1:F1"/>
  </mergeCells>
  <hyperlinks>
    <hyperlink ref="A2" location="'סיכום חודשי'!A1" display="← חזרה לסיכום חודשי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140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106</v>
      </c>
      <c r="B4" s="11" t="s">
        <v>107</v>
      </c>
      <c r="C4" s="11" t="s">
        <v>108</v>
      </c>
      <c r="D4" s="20">
        <v>25</v>
      </c>
      <c r="E4" s="21">
        <f>D4*הגדרות!$B$4</f>
        <v>91.25</v>
      </c>
      <c r="F4" s="19"/>
    </row>
    <row r="5" spans="1:6" x14ac:dyDescent="0.25">
      <c r="A5" s="6" t="s">
        <v>109</v>
      </c>
      <c r="B5" s="7" t="s">
        <v>52</v>
      </c>
      <c r="C5" s="7" t="s">
        <v>53</v>
      </c>
      <c r="D5" s="22">
        <v>20</v>
      </c>
      <c r="E5" s="23">
        <f>D5*הגדרות!$B$4</f>
        <v>73</v>
      </c>
      <c r="F5" s="24"/>
    </row>
    <row r="6" spans="1:6" x14ac:dyDescent="0.25">
      <c r="A6" s="10" t="s">
        <v>110</v>
      </c>
      <c r="B6" s="11" t="s">
        <v>52</v>
      </c>
      <c r="C6" s="11" t="s">
        <v>111</v>
      </c>
      <c r="D6" s="20">
        <v>5</v>
      </c>
      <c r="E6" s="21">
        <f>D6*הגדרות!$B$4</f>
        <v>18.25</v>
      </c>
      <c r="F6" s="19"/>
    </row>
    <row r="7" spans="1:6" x14ac:dyDescent="0.25">
      <c r="A7" s="6" t="s">
        <v>112</v>
      </c>
      <c r="B7" s="7" t="s">
        <v>113</v>
      </c>
      <c r="C7" s="7" t="s">
        <v>114</v>
      </c>
      <c r="D7" s="22">
        <v>51</v>
      </c>
      <c r="E7" s="23">
        <f>D7*הגדרות!$B$4</f>
        <v>186.15</v>
      </c>
      <c r="F7" s="24"/>
    </row>
    <row r="8" spans="1:6" x14ac:dyDescent="0.25">
      <c r="A8" s="10" t="s">
        <v>112</v>
      </c>
      <c r="B8" s="11" t="s">
        <v>107</v>
      </c>
      <c r="C8" s="11" t="s">
        <v>115</v>
      </c>
      <c r="D8" s="20">
        <v>50</v>
      </c>
      <c r="E8" s="21">
        <f>D8*הגדרות!$B$4</f>
        <v>182.5</v>
      </c>
      <c r="F8" s="19"/>
    </row>
    <row r="9" spans="1:6" x14ac:dyDescent="0.25">
      <c r="A9" s="6" t="s">
        <v>116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133</v>
      </c>
      <c r="B10" s="58"/>
      <c r="C10" s="58"/>
      <c r="D10" s="16">
        <f>SUM(D4:D9)</f>
        <v>156</v>
      </c>
      <c r="E10" s="17">
        <f>SUM(E4:E9)</f>
        <v>569.4</v>
      </c>
      <c r="F10" s="26"/>
    </row>
  </sheetData>
  <mergeCells count="2">
    <mergeCell ref="A10:C10"/>
    <mergeCell ref="A1:F1"/>
  </mergeCells>
  <hyperlinks>
    <hyperlink ref="A2" location="'סיכום חודשי'!A1" display="← חזרה לסיכום חודשי" xr:uid="{00000000-0004-0000-0900-000000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DC3E6"/>
  </sheetPr>
  <dimension ref="A1:F11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141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117</v>
      </c>
      <c r="B4" s="11" t="s">
        <v>104</v>
      </c>
      <c r="C4" s="11" t="s">
        <v>105</v>
      </c>
      <c r="D4" s="20">
        <v>14.5</v>
      </c>
      <c r="E4" s="21">
        <f>D4*הגדרות!$B$4</f>
        <v>52.924999999999997</v>
      </c>
      <c r="F4" s="19"/>
    </row>
    <row r="5" spans="1:6" x14ac:dyDescent="0.25">
      <c r="A5" s="6" t="s">
        <v>118</v>
      </c>
      <c r="B5" s="7" t="s">
        <v>113</v>
      </c>
      <c r="C5" s="7" t="s">
        <v>114</v>
      </c>
      <c r="D5" s="22">
        <v>40.11</v>
      </c>
      <c r="E5" s="23">
        <f>D5*הגדרות!$B$4</f>
        <v>146.4015</v>
      </c>
      <c r="F5" s="24"/>
    </row>
    <row r="6" spans="1:6" x14ac:dyDescent="0.25">
      <c r="A6" s="10" t="s">
        <v>119</v>
      </c>
      <c r="B6" s="11" t="s">
        <v>113</v>
      </c>
      <c r="C6" s="11" t="s">
        <v>114</v>
      </c>
      <c r="D6" s="20">
        <v>51</v>
      </c>
      <c r="E6" s="21">
        <f>D6*הגדרות!$B$4</f>
        <v>186.15</v>
      </c>
      <c r="F6" s="19"/>
    </row>
    <row r="7" spans="1:6" x14ac:dyDescent="0.25">
      <c r="A7" s="6" t="s">
        <v>120</v>
      </c>
      <c r="B7" s="7" t="s">
        <v>52</v>
      </c>
      <c r="C7" s="7" t="s">
        <v>53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121</v>
      </c>
      <c r="B8" s="11" t="s">
        <v>52</v>
      </c>
      <c r="C8" s="11" t="s">
        <v>111</v>
      </c>
      <c r="D8" s="20">
        <v>10</v>
      </c>
      <c r="E8" s="21">
        <f>D8*הגדרות!$B$4</f>
        <v>36.5</v>
      </c>
      <c r="F8" s="19"/>
    </row>
    <row r="9" spans="1:6" x14ac:dyDescent="0.25">
      <c r="A9" s="6" t="s">
        <v>121</v>
      </c>
      <c r="B9" s="7" t="s">
        <v>73</v>
      </c>
      <c r="C9" s="7" t="s">
        <v>122</v>
      </c>
      <c r="D9" s="22">
        <v>11</v>
      </c>
      <c r="E9" s="23">
        <f>D9*הגדרות!$B$4</f>
        <v>40.15</v>
      </c>
      <c r="F9" s="24"/>
    </row>
    <row r="10" spans="1:6" x14ac:dyDescent="0.25">
      <c r="A10" s="10" t="s">
        <v>123</v>
      </c>
      <c r="B10" s="11" t="s">
        <v>107</v>
      </c>
      <c r="C10" s="11" t="s">
        <v>124</v>
      </c>
      <c r="D10" s="20">
        <v>5</v>
      </c>
      <c r="E10" s="21">
        <f>D10*הגדרות!$B$4</f>
        <v>18.25</v>
      </c>
      <c r="F10" s="19"/>
    </row>
    <row r="11" spans="1:6" ht="24" customHeight="1" x14ac:dyDescent="0.25">
      <c r="A11" s="65" t="s">
        <v>133</v>
      </c>
      <c r="B11" s="58"/>
      <c r="C11" s="58"/>
      <c r="D11" s="16">
        <f>SUM(D4:D10)</f>
        <v>151.61000000000001</v>
      </c>
      <c r="E11" s="17">
        <f>SUM(E4:E10)</f>
        <v>553.37649999999996</v>
      </c>
      <c r="F11" s="26"/>
    </row>
  </sheetData>
  <mergeCells count="2">
    <mergeCell ref="A1:F1"/>
    <mergeCell ref="A11:C11"/>
  </mergeCells>
  <hyperlinks>
    <hyperlink ref="A2" location="'סיכום חודשי'!A1" display="← חזרה לסיכום חודשי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DC3E6"/>
  </sheetPr>
  <dimension ref="A1:F8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142</v>
      </c>
      <c r="B1" s="53"/>
      <c r="C1" s="53"/>
      <c r="D1" s="53"/>
      <c r="E1" s="53"/>
      <c r="F1" s="53"/>
    </row>
    <row r="2" spans="1:6" ht="16.05" customHeight="1" x14ac:dyDescent="0.25">
      <c r="A2" s="18" t="s">
        <v>132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125</v>
      </c>
      <c r="B4" s="11" t="s">
        <v>52</v>
      </c>
      <c r="C4" s="11" t="s">
        <v>53</v>
      </c>
      <c r="D4" s="20">
        <v>20</v>
      </c>
      <c r="E4" s="21">
        <f>D4*הגדרות!$B$4</f>
        <v>73</v>
      </c>
      <c r="F4" s="19"/>
    </row>
    <row r="5" spans="1:6" x14ac:dyDescent="0.25">
      <c r="A5" s="6" t="s">
        <v>125</v>
      </c>
      <c r="B5" s="7" t="s">
        <v>52</v>
      </c>
      <c r="C5" s="7" t="s">
        <v>111</v>
      </c>
      <c r="D5" s="22">
        <v>5</v>
      </c>
      <c r="E5" s="23">
        <f>D5*הגדרות!$B$4</f>
        <v>18.25</v>
      </c>
      <c r="F5" s="24"/>
    </row>
    <row r="6" spans="1:6" x14ac:dyDescent="0.25">
      <c r="A6" s="10" t="s">
        <v>126</v>
      </c>
      <c r="B6" s="11" t="s">
        <v>113</v>
      </c>
      <c r="C6" s="11" t="s">
        <v>114</v>
      </c>
      <c r="D6" s="20">
        <v>2.25</v>
      </c>
      <c r="E6" s="21">
        <f>D6*הגדרות!$B$4</f>
        <v>8.2125000000000004</v>
      </c>
      <c r="F6" s="19"/>
    </row>
    <row r="7" spans="1:6" x14ac:dyDescent="0.25">
      <c r="A7" s="6" t="s">
        <v>127</v>
      </c>
      <c r="B7" s="7" t="s">
        <v>128</v>
      </c>
      <c r="C7" s="7" t="s">
        <v>129</v>
      </c>
      <c r="D7" s="22">
        <v>20</v>
      </c>
      <c r="E7" s="23">
        <f>D7*הגדרות!$B$4</f>
        <v>73</v>
      </c>
      <c r="F7" s="24"/>
    </row>
    <row r="8" spans="1:6" ht="24" customHeight="1" x14ac:dyDescent="0.25">
      <c r="A8" s="65" t="s">
        <v>133</v>
      </c>
      <c r="B8" s="58"/>
      <c r="C8" s="58"/>
      <c r="D8" s="16">
        <f>SUM(D4:D7)</f>
        <v>47.25</v>
      </c>
      <c r="E8" s="17">
        <f>SUM(E4:E7)</f>
        <v>172.46250000000001</v>
      </c>
      <c r="F8" s="26"/>
    </row>
  </sheetData>
  <mergeCells count="2">
    <mergeCell ref="A8:C8"/>
    <mergeCell ref="A1:F1"/>
  </mergeCells>
  <hyperlinks>
    <hyperlink ref="A2" location="'סיכום חודשי'!A1" display="← חזרה לסיכום חודשי" xr:uid="{00000000-0004-0000-0B00-000000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AD47"/>
  </sheetPr>
  <dimension ref="A1:W21"/>
  <sheetViews>
    <sheetView rightToLeft="1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1" width="20" customWidth="1"/>
    <col min="2" max="2" width="11" customWidth="1"/>
    <col min="3" max="3" width="13" customWidth="1"/>
    <col min="4" max="4" width="11" customWidth="1"/>
    <col min="5" max="5" width="13" customWidth="1"/>
    <col min="6" max="6" width="11" customWidth="1"/>
    <col min="7" max="7" width="13" customWidth="1"/>
    <col min="8" max="8" width="11" customWidth="1"/>
    <col min="9" max="9" width="13" customWidth="1"/>
    <col min="10" max="10" width="11" customWidth="1"/>
    <col min="11" max="11" width="13" customWidth="1"/>
    <col min="12" max="12" width="11" customWidth="1"/>
    <col min="13" max="13" width="13" customWidth="1"/>
    <col min="14" max="14" width="11" customWidth="1"/>
    <col min="15" max="15" width="13" customWidth="1"/>
    <col min="16" max="16" width="11" customWidth="1"/>
    <col min="17" max="17" width="13" customWidth="1"/>
    <col min="18" max="18" width="11" customWidth="1"/>
    <col min="19" max="19" width="13" customWidth="1"/>
    <col min="20" max="20" width="11" customWidth="1"/>
    <col min="21" max="21" width="13" customWidth="1"/>
    <col min="22" max="22" width="12" customWidth="1"/>
    <col min="23" max="23" width="14" customWidth="1"/>
  </cols>
  <sheetData>
    <row r="1" spans="1:23" ht="31.95" customHeight="1" x14ac:dyDescent="0.25">
      <c r="A1" s="61" t="s">
        <v>143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</row>
    <row r="2" spans="1:23" ht="13.95" customHeight="1" x14ac:dyDescent="0.25">
      <c r="A2" s="66" t="s">
        <v>144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</row>
    <row r="3" spans="1:23" ht="42" customHeight="1" x14ac:dyDescent="0.25">
      <c r="A3" s="14" t="s">
        <v>38</v>
      </c>
      <c r="B3" s="67" t="s">
        <v>145</v>
      </c>
      <c r="C3" s="53"/>
      <c r="D3" s="67" t="s">
        <v>146</v>
      </c>
      <c r="E3" s="53"/>
      <c r="F3" s="67" t="s">
        <v>147</v>
      </c>
      <c r="G3" s="53"/>
      <c r="H3" s="67" t="s">
        <v>148</v>
      </c>
      <c r="I3" s="53"/>
      <c r="J3" s="67" t="s">
        <v>149</v>
      </c>
      <c r="K3" s="53"/>
      <c r="L3" s="67" t="s">
        <v>150</v>
      </c>
      <c r="M3" s="53"/>
      <c r="N3" s="67" t="s">
        <v>151</v>
      </c>
      <c r="O3" s="53"/>
      <c r="P3" s="67" t="s">
        <v>152</v>
      </c>
      <c r="Q3" s="53"/>
      <c r="R3" s="67" t="s">
        <v>153</v>
      </c>
      <c r="S3" s="53"/>
      <c r="T3" s="67" t="s">
        <v>154</v>
      </c>
      <c r="U3" s="53"/>
      <c r="V3" s="14" t="s">
        <v>155</v>
      </c>
      <c r="W3" s="14" t="s">
        <v>156</v>
      </c>
    </row>
    <row r="4" spans="1:23" ht="18" customHeight="1" x14ac:dyDescent="0.25">
      <c r="A4" s="15"/>
      <c r="B4" s="27" t="s">
        <v>157</v>
      </c>
      <c r="C4" s="27" t="s">
        <v>158</v>
      </c>
      <c r="D4" s="27" t="s">
        <v>157</v>
      </c>
      <c r="E4" s="27" t="s">
        <v>158</v>
      </c>
      <c r="F4" s="27" t="s">
        <v>157</v>
      </c>
      <c r="G4" s="27" t="s">
        <v>158</v>
      </c>
      <c r="H4" s="27" t="s">
        <v>157</v>
      </c>
      <c r="I4" s="27" t="s">
        <v>158</v>
      </c>
      <c r="J4" s="27" t="s">
        <v>157</v>
      </c>
      <c r="K4" s="27" t="s">
        <v>158</v>
      </c>
      <c r="L4" s="27" t="s">
        <v>157</v>
      </c>
      <c r="M4" s="27" t="s">
        <v>158</v>
      </c>
      <c r="N4" s="27" t="s">
        <v>157</v>
      </c>
      <c r="O4" s="27" t="s">
        <v>158</v>
      </c>
      <c r="P4" s="27" t="s">
        <v>157</v>
      </c>
      <c r="Q4" s="27" t="s">
        <v>158</v>
      </c>
      <c r="R4" s="27" t="s">
        <v>157</v>
      </c>
      <c r="S4" s="27" t="s">
        <v>158</v>
      </c>
      <c r="T4" s="27" t="s">
        <v>157</v>
      </c>
      <c r="U4" s="27" t="s">
        <v>158</v>
      </c>
      <c r="V4" s="28" t="s">
        <v>157</v>
      </c>
      <c r="W4" s="28" t="s">
        <v>158</v>
      </c>
    </row>
    <row r="5" spans="1:23" x14ac:dyDescent="0.25">
      <c r="A5" s="29" t="s">
        <v>52</v>
      </c>
      <c r="B5" s="30">
        <f>SUMIFS('כל ההוצאות'!$D:$D,'כל ההוצאות'!$B:$B,"Anthropic",'כל ההוצאות'!$F:$F,"יולי 2025")</f>
        <v>20</v>
      </c>
      <c r="C5" s="31">
        <f>IF(B5&gt;0,B5*הגדרות!$B$4,"")</f>
        <v>73</v>
      </c>
      <c r="D5" s="30">
        <f>SUMIFS('כל ההוצאות'!$D:$D,'כל ההוצאות'!$B:$B,"Anthropic",'כל ההוצאות'!$F:$F,"אוגוסט 2025")</f>
        <v>20</v>
      </c>
      <c r="E5" s="31">
        <f>IF(D5&gt;0,D5*הגדרות!$B$4,"")</f>
        <v>73</v>
      </c>
      <c r="F5" s="30">
        <f>SUMIFS('כל ההוצאות'!$D:$D,'כל ההוצאות'!$B:$B,"Anthropic",'כל ההוצאות'!$F:$F,"ספטמבר 2025")</f>
        <v>20</v>
      </c>
      <c r="G5" s="31">
        <f>IF(F5&gt;0,F5*הגדרות!$B$4,"")</f>
        <v>73</v>
      </c>
      <c r="H5" s="30">
        <f>SUMIFS('כל ההוצאות'!$D:$D,'כל ההוצאות'!$B:$B,"Anthropic",'כל ההוצאות'!$F:$F,"אוקטובר 2025")</f>
        <v>20</v>
      </c>
      <c r="I5" s="31">
        <f>IF(H5&gt;0,H5*הגדרות!$B$4,"")</f>
        <v>73</v>
      </c>
      <c r="J5" s="30">
        <f>SUMIFS('כל ההוצאות'!$D:$D,'כל ההוצאות'!$B:$B,"Anthropic",'כל ההוצאות'!$F:$F,"נובמבר 2025")</f>
        <v>20</v>
      </c>
      <c r="K5" s="31">
        <f>IF(J5&gt;0,J5*הגדרות!$B$4,"")</f>
        <v>73</v>
      </c>
      <c r="L5" s="30">
        <f>SUMIFS('כל ההוצאות'!$D:$D,'כל ההוצאות'!$B:$B,"Anthropic",'כל ההוצאות'!$F:$F,"דצמבר 2025")</f>
        <v>0</v>
      </c>
      <c r="M5" s="31" t="str">
        <f>IF(L5&gt;0,L5*הגדרות!$B$4,"")</f>
        <v/>
      </c>
      <c r="N5" s="30">
        <f>SUMIFS('כל ההוצאות'!$D:$D,'כל ההוצאות'!$B:$B,"Anthropic",'כל ההוצאות'!$F:$F,"ינואר 2026")</f>
        <v>0</v>
      </c>
      <c r="O5" s="31" t="str">
        <f>IF(N5&gt;0,N5*הגדרות!$B$4,"")</f>
        <v/>
      </c>
      <c r="P5" s="30">
        <f>SUMIFS('כל ההוצאות'!$D:$D,'כל ההוצאות'!$B:$B,"Anthropic",'כל ההוצאות'!$F:$F,"פברואר 2026")</f>
        <v>25</v>
      </c>
      <c r="Q5" s="31">
        <f>IF(P5&gt;0,P5*הגדרות!$B$4,"")</f>
        <v>91.25</v>
      </c>
      <c r="R5" s="30">
        <f>SUMIFS('כל ההוצאות'!$D:$D,'כל ההוצאות'!$B:$B,"Anthropic",'כל ההוצאות'!$F:$F,"מרץ 2026")</f>
        <v>30</v>
      </c>
      <c r="S5" s="31">
        <f>IF(R5&gt;0,R5*הגדרות!$B$4,"")</f>
        <v>109.5</v>
      </c>
      <c r="T5" s="30">
        <f>SUMIFS('כל ההוצאות'!$D:$D,'כל ההוצאות'!$B:$B,"Anthropic",'כל ההוצאות'!$F:$F,"אפריל 2026")</f>
        <v>25</v>
      </c>
      <c r="U5" s="31">
        <f>IF(T5&gt;0,T5*הגדרות!$B$4,"")</f>
        <v>91.25</v>
      </c>
      <c r="V5" s="32">
        <f t="shared" ref="V5:V20" si="0">SUM(B5,D5,F5,H5,J5,L5,N5,P5,R5,T5)</f>
        <v>180</v>
      </c>
      <c r="W5" s="33">
        <f>IF(V5&gt;0,V5*הגדרות!$B$4,"")</f>
        <v>657</v>
      </c>
    </row>
    <row r="6" spans="1:23" x14ac:dyDescent="0.25">
      <c r="A6" s="34" t="s">
        <v>85</v>
      </c>
      <c r="B6" s="35">
        <f>SUMIFS('כל ההוצאות'!$D:$D,'כל ההוצאות'!$B:$B,"Astria",'כל ההוצאות'!$F:$F,"יולי 2025")</f>
        <v>0</v>
      </c>
      <c r="C6" s="36" t="str">
        <f>IF(B6&gt;0,B6*הגדרות!$B$4,"")</f>
        <v/>
      </c>
      <c r="D6" s="35">
        <f>SUMIFS('כל ההוצאות'!$D:$D,'כל ההוצאות'!$B:$B,"Astria",'כל ההוצאות'!$F:$F,"אוגוסט 2025")</f>
        <v>0</v>
      </c>
      <c r="E6" s="36" t="str">
        <f>IF(D6&gt;0,D6*הגדרות!$B$4,"")</f>
        <v/>
      </c>
      <c r="F6" s="35">
        <f>SUMIFS('כל ההוצאות'!$D:$D,'כל ההוצאות'!$B:$B,"Astria",'כל ההוצאות'!$F:$F,"ספטמבר 2025")</f>
        <v>0</v>
      </c>
      <c r="G6" s="36" t="str">
        <f>IF(F6&gt;0,F6*הגדרות!$B$4,"")</f>
        <v/>
      </c>
      <c r="H6" s="35">
        <f>SUMIFS('כל ההוצאות'!$D:$D,'כל ההוצאות'!$B:$B,"Astria",'כל ההוצאות'!$F:$F,"אוקטובר 2025")</f>
        <v>0</v>
      </c>
      <c r="I6" s="36" t="str">
        <f>IF(H6&gt;0,H6*הגדרות!$B$4,"")</f>
        <v/>
      </c>
      <c r="J6" s="35">
        <f>SUMIFS('כל ההוצאות'!$D:$D,'כל ההוצאות'!$B:$B,"Astria",'כל ההוצאות'!$F:$F,"נובמבר 2025")</f>
        <v>11.8</v>
      </c>
      <c r="K6" s="36">
        <f>IF(J6&gt;0,J6*הגדרות!$B$4,"")</f>
        <v>43.07</v>
      </c>
      <c r="L6" s="35">
        <f>SUMIFS('כל ההוצאות'!$D:$D,'כל ההוצאות'!$B:$B,"Astria",'כל ההוצאות'!$F:$F,"דצמבר 2025")</f>
        <v>0</v>
      </c>
      <c r="M6" s="36" t="str">
        <f>IF(L6&gt;0,L6*הגדרות!$B$4,"")</f>
        <v/>
      </c>
      <c r="N6" s="35">
        <f>SUMIFS('כל ההוצאות'!$D:$D,'כל ההוצאות'!$B:$B,"Astria",'כל ההוצאות'!$F:$F,"ינואר 2026")</f>
        <v>0</v>
      </c>
      <c r="O6" s="36" t="str">
        <f>IF(N6&gt;0,N6*הגדרות!$B$4,"")</f>
        <v/>
      </c>
      <c r="P6" s="35">
        <f>SUMIFS('כל ההוצאות'!$D:$D,'כל ההוצאות'!$B:$B,"Astria",'כל ההוצאות'!$F:$F,"פברואר 2026")</f>
        <v>0</v>
      </c>
      <c r="Q6" s="36" t="str">
        <f>IF(P6&gt;0,P6*הגדרות!$B$4,"")</f>
        <v/>
      </c>
      <c r="R6" s="35">
        <f>SUMIFS('כל ההוצאות'!$D:$D,'כל ההוצאות'!$B:$B,"Astria",'כל ההוצאות'!$F:$F,"מרץ 2026")</f>
        <v>0</v>
      </c>
      <c r="S6" s="36" t="str">
        <f>IF(R6&gt;0,R6*הגדרות!$B$4,"")</f>
        <v/>
      </c>
      <c r="T6" s="35">
        <f>SUMIFS('כל ההוצאות'!$D:$D,'כל ההוצאות'!$B:$B,"Astria",'כל ההוצאות'!$F:$F,"אפריל 2026")</f>
        <v>0</v>
      </c>
      <c r="U6" s="36" t="str">
        <f>IF(T6&gt;0,T6*הגדרות!$B$4,"")</f>
        <v/>
      </c>
      <c r="V6" s="32">
        <f t="shared" si="0"/>
        <v>11.8</v>
      </c>
      <c r="W6" s="33">
        <f>IF(V6&gt;0,V6*הגדרות!$B$4,"")</f>
        <v>43.07</v>
      </c>
    </row>
    <row r="7" spans="1:23" x14ac:dyDescent="0.25">
      <c r="A7" s="29" t="s">
        <v>73</v>
      </c>
      <c r="B7" s="30">
        <f>SUMIFS('כל ההוצאות'!$D:$D,'כל ההוצאות'!$B:$B,"Eleven Labs",'כל ההוצאות'!$F:$F,"יולי 2025")</f>
        <v>0</v>
      </c>
      <c r="C7" s="31" t="str">
        <f>IF(B7&gt;0,B7*הגדרות!$B$4,"")</f>
        <v/>
      </c>
      <c r="D7" s="30">
        <f>SUMIFS('כל ההוצאות'!$D:$D,'כל ההוצאות'!$B:$B,"Eleven Labs",'כל ההוצאות'!$F:$F,"אוגוסט 2025")</f>
        <v>5</v>
      </c>
      <c r="E7" s="31">
        <f>IF(D7&gt;0,D7*הגדרות!$B$4,"")</f>
        <v>18.25</v>
      </c>
      <c r="F7" s="30">
        <f>SUMIFS('כל ההוצאות'!$D:$D,'כל ההוצאות'!$B:$B,"Eleven Labs",'כל ההוצאות'!$F:$F,"ספטמבר 2025")</f>
        <v>5</v>
      </c>
      <c r="G7" s="31">
        <f>IF(F7&gt;0,F7*הגדרות!$B$4,"")</f>
        <v>18.25</v>
      </c>
      <c r="H7" s="30">
        <f>SUMIFS('כל ההוצאות'!$D:$D,'כל ההוצאות'!$B:$B,"Eleven Labs",'כל ההוצאות'!$F:$F,"אוקטובר 2025")</f>
        <v>5</v>
      </c>
      <c r="I7" s="31">
        <f>IF(H7&gt;0,H7*הגדרות!$B$4,"")</f>
        <v>18.25</v>
      </c>
      <c r="J7" s="30">
        <f>SUMIFS('כל ההוצאות'!$D:$D,'כל ההוצאות'!$B:$B,"Eleven Labs",'כל ההוצאות'!$F:$F,"נובמבר 2025")</f>
        <v>5</v>
      </c>
      <c r="K7" s="31">
        <f>IF(J7&gt;0,J7*הגדרות!$B$4,"")</f>
        <v>18.25</v>
      </c>
      <c r="L7" s="30">
        <f>SUMIFS('כל ההוצאות'!$D:$D,'כל ההוצאות'!$B:$B,"Eleven Labs",'כל ההוצאות'!$F:$F,"דצמבר 2025")</f>
        <v>5</v>
      </c>
      <c r="M7" s="31">
        <f>IF(L7&gt;0,L7*הגדרות!$B$4,"")</f>
        <v>18.25</v>
      </c>
      <c r="N7" s="30">
        <f>SUMIFS('כל ההוצאות'!$D:$D,'כל ההוצאות'!$B:$B,"Eleven Labs",'כל ההוצאות'!$F:$F,"ינואר 2026")</f>
        <v>5</v>
      </c>
      <c r="O7" s="31">
        <f>IF(N7&gt;0,N7*הגדרות!$B$4,"")</f>
        <v>18.25</v>
      </c>
      <c r="P7" s="30">
        <f>SUMIFS('כל ההוצאות'!$D:$D,'כל ההוצאות'!$B:$B,"Eleven Labs",'כל ההוצאות'!$F:$F,"פברואר 2026")</f>
        <v>5</v>
      </c>
      <c r="Q7" s="31">
        <f>IF(P7&gt;0,P7*הגדרות!$B$4,"")</f>
        <v>18.25</v>
      </c>
      <c r="R7" s="30">
        <f>SUMIFS('כל ההוצאות'!$D:$D,'כל ההוצאות'!$B:$B,"Eleven Labs",'כל ההוצאות'!$F:$F,"מרץ 2026")</f>
        <v>11</v>
      </c>
      <c r="S7" s="31">
        <f>IF(R7&gt;0,R7*הגדרות!$B$4,"")</f>
        <v>40.15</v>
      </c>
      <c r="T7" s="30">
        <f>SUMIFS('כל ההוצאות'!$D:$D,'כל ההוצאות'!$B:$B,"Eleven Labs",'כל ההוצאות'!$F:$F,"אפריל 2026")</f>
        <v>0</v>
      </c>
      <c r="U7" s="31" t="str">
        <f>IF(T7&gt;0,T7*הגדרות!$B$4,"")</f>
        <v/>
      </c>
      <c r="V7" s="32">
        <f t="shared" si="0"/>
        <v>46</v>
      </c>
      <c r="W7" s="33">
        <f>IF(V7&gt;0,V7*הגדרות!$B$4,"")</f>
        <v>167.9</v>
      </c>
    </row>
    <row r="8" spans="1:23" x14ac:dyDescent="0.25">
      <c r="A8" s="34" t="s">
        <v>98</v>
      </c>
      <c r="B8" s="35">
        <f>SUMIFS('כל ההוצאות'!$D:$D,'כל ההוצאות'!$B:$B,"Genspark",'כל ההוצאות'!$F:$F,"יולי 2025")</f>
        <v>0</v>
      </c>
      <c r="C8" s="36" t="str">
        <f>IF(B8&gt;0,B8*הגדרות!$B$4,"")</f>
        <v/>
      </c>
      <c r="D8" s="35">
        <f>SUMIFS('כל ההוצאות'!$D:$D,'כל ההוצאות'!$B:$B,"Genspark",'כל ההוצאות'!$F:$F,"אוגוסט 2025")</f>
        <v>0</v>
      </c>
      <c r="E8" s="36" t="str">
        <f>IF(D8&gt;0,D8*הגדרות!$B$4,"")</f>
        <v/>
      </c>
      <c r="F8" s="35">
        <f>SUMIFS('כל ההוצאות'!$D:$D,'כל ההוצאות'!$B:$B,"Genspark",'כל ההוצאות'!$F:$F,"ספטמבר 2025")</f>
        <v>0</v>
      </c>
      <c r="G8" s="36" t="str">
        <f>IF(F8&gt;0,F8*הגדרות!$B$4,"")</f>
        <v/>
      </c>
      <c r="H8" s="35">
        <f>SUMIFS('כל ההוצאות'!$D:$D,'כל ההוצאות'!$B:$B,"Genspark",'כל ההוצאות'!$F:$F,"אוקטובר 2025")</f>
        <v>0</v>
      </c>
      <c r="I8" s="36" t="str">
        <f>IF(H8&gt;0,H8*הגדרות!$B$4,"")</f>
        <v/>
      </c>
      <c r="J8" s="35">
        <f>SUMIFS('כל ההוצאות'!$D:$D,'כל ההוצאות'!$B:$B,"Genspark",'כל ההוצאות'!$F:$F,"נובמבר 2025")</f>
        <v>0</v>
      </c>
      <c r="K8" s="36" t="str">
        <f>IF(J8&gt;0,J8*הגדרות!$B$4,"")</f>
        <v/>
      </c>
      <c r="L8" s="35">
        <f>SUMIFS('כל ההוצאות'!$D:$D,'כל ההוצאות'!$B:$B,"Genspark",'כל ההוצאות'!$F:$F,"דצמבר 2025")</f>
        <v>0</v>
      </c>
      <c r="M8" s="36" t="str">
        <f>IF(L8&gt;0,L8*הגדרות!$B$4,"")</f>
        <v/>
      </c>
      <c r="N8" s="35">
        <f>SUMIFS('כל ההוצאות'!$D:$D,'כל ההוצאות'!$B:$B,"Genspark",'כל ההוצאות'!$F:$F,"ינואר 2026")</f>
        <v>179.92</v>
      </c>
      <c r="O8" s="36">
        <f>IF(N8&gt;0,N8*הגדרות!$B$4,"")</f>
        <v>656.70799999999997</v>
      </c>
      <c r="P8" s="35">
        <f>SUMIFS('כל ההוצאות'!$D:$D,'כל ההוצאות'!$B:$B,"Genspark",'כל ההוצאות'!$F:$F,"פברואר 2026")</f>
        <v>0</v>
      </c>
      <c r="Q8" s="36" t="str">
        <f>IF(P8&gt;0,P8*הגדרות!$B$4,"")</f>
        <v/>
      </c>
      <c r="R8" s="35">
        <f>SUMIFS('כל ההוצאות'!$D:$D,'כל ההוצאות'!$B:$B,"Genspark",'כל ההוצאות'!$F:$F,"מרץ 2026")</f>
        <v>0</v>
      </c>
      <c r="S8" s="36" t="str">
        <f>IF(R8&gt;0,R8*הגדרות!$B$4,"")</f>
        <v/>
      </c>
      <c r="T8" s="35">
        <f>SUMIFS('כל ההוצאות'!$D:$D,'כל ההוצאות'!$B:$B,"Genspark",'כל ההוצאות'!$F:$F,"אפריל 2026")</f>
        <v>0</v>
      </c>
      <c r="U8" s="36" t="str">
        <f>IF(T8&gt;0,T8*הגדרות!$B$4,"")</f>
        <v/>
      </c>
      <c r="V8" s="32">
        <f t="shared" si="0"/>
        <v>179.92</v>
      </c>
      <c r="W8" s="33">
        <f>IF(V8&gt;0,V8*הגדרות!$B$4,"")</f>
        <v>656.70799999999997</v>
      </c>
    </row>
    <row r="9" spans="1:23" x14ac:dyDescent="0.25">
      <c r="A9" s="29" t="s">
        <v>89</v>
      </c>
      <c r="B9" s="30">
        <f>SUMIFS('כל ההוצאות'!$D:$D,'כל ההוצאות'!$B:$B,"Hedra",'כל ההוצאות'!$F:$F,"יולי 2025")</f>
        <v>0</v>
      </c>
      <c r="C9" s="31" t="str">
        <f>IF(B9&gt;0,B9*הגדרות!$B$4,"")</f>
        <v/>
      </c>
      <c r="D9" s="30">
        <f>SUMIFS('כל ההוצאות'!$D:$D,'כל ההוצאות'!$B:$B,"Hedra",'כל ההוצאות'!$F:$F,"אוגוסט 2025")</f>
        <v>0</v>
      </c>
      <c r="E9" s="31" t="str">
        <f>IF(D9&gt;0,D9*הגדרות!$B$4,"")</f>
        <v/>
      </c>
      <c r="F9" s="30">
        <f>SUMIFS('כל ההוצאות'!$D:$D,'כל ההוצאות'!$B:$B,"Hedra",'כל ההוצאות'!$F:$F,"ספטמבר 2025")</f>
        <v>0</v>
      </c>
      <c r="G9" s="31" t="str">
        <f>IF(F9&gt;0,F9*הגדרות!$B$4,"")</f>
        <v/>
      </c>
      <c r="H9" s="30">
        <f>SUMIFS('כל ההוצאות'!$D:$D,'כל ההוצאות'!$B:$B,"Hedra",'כל ההוצאות'!$F:$F,"אוקטובר 2025")</f>
        <v>0</v>
      </c>
      <c r="I9" s="31" t="str">
        <f>IF(H9&gt;0,H9*הגדרות!$B$4,"")</f>
        <v/>
      </c>
      <c r="J9" s="30">
        <f>SUMIFS('כל ההוצאות'!$D:$D,'כל ההוצאות'!$B:$B,"Hedra",'כל ההוצאות'!$F:$F,"נובמבר 2025")</f>
        <v>10</v>
      </c>
      <c r="K9" s="31">
        <f>IF(J9&gt;0,J9*הגדרות!$B$4,"")</f>
        <v>36.5</v>
      </c>
      <c r="L9" s="30">
        <f>SUMIFS('כל ההוצאות'!$D:$D,'כל ההוצאות'!$B:$B,"Hedra",'כל ההוצאות'!$F:$F,"דצמבר 2025")</f>
        <v>0</v>
      </c>
      <c r="M9" s="31" t="str">
        <f>IF(L9&gt;0,L9*הגדרות!$B$4,"")</f>
        <v/>
      </c>
      <c r="N9" s="30">
        <f>SUMIFS('כל ההוצאות'!$D:$D,'כל ההוצאות'!$B:$B,"Hedra",'כל ההוצאות'!$F:$F,"ינואר 2026")</f>
        <v>0</v>
      </c>
      <c r="O9" s="31" t="str">
        <f>IF(N9&gt;0,N9*הגדרות!$B$4,"")</f>
        <v/>
      </c>
      <c r="P9" s="30">
        <f>SUMIFS('כל ההוצאות'!$D:$D,'כל ההוצאות'!$B:$B,"Hedra",'כל ההוצאות'!$F:$F,"פברואר 2026")</f>
        <v>0</v>
      </c>
      <c r="Q9" s="31" t="str">
        <f>IF(P9&gt;0,P9*הגדרות!$B$4,"")</f>
        <v/>
      </c>
      <c r="R9" s="30">
        <f>SUMIFS('כל ההוצאות'!$D:$D,'כל ההוצאות'!$B:$B,"Hedra",'כל ההוצאות'!$F:$F,"מרץ 2026")</f>
        <v>0</v>
      </c>
      <c r="S9" s="31" t="str">
        <f>IF(R9&gt;0,R9*הגדרות!$B$4,"")</f>
        <v/>
      </c>
      <c r="T9" s="30">
        <f>SUMIFS('כל ההוצאות'!$D:$D,'כל ההוצאות'!$B:$B,"Hedra",'כל ההוצאות'!$F:$F,"אפריל 2026")</f>
        <v>0</v>
      </c>
      <c r="U9" s="31" t="str">
        <f>IF(T9&gt;0,T9*הגדרות!$B$4,"")</f>
        <v/>
      </c>
      <c r="V9" s="32">
        <f t="shared" si="0"/>
        <v>10</v>
      </c>
      <c r="W9" s="33">
        <f>IF(V9&gt;0,V9*הגדרות!$B$4,"")</f>
        <v>36.5</v>
      </c>
    </row>
    <row r="10" spans="1:23" x14ac:dyDescent="0.25">
      <c r="A10" s="34" t="s">
        <v>128</v>
      </c>
      <c r="B10" s="35">
        <f>SUMIFS('כל ההוצאות'!$D:$D,'כל ההוצאות'!$B:$B,"IONOS",'כל ההוצאות'!$F:$F,"יולי 2025")</f>
        <v>0</v>
      </c>
      <c r="C10" s="36" t="str">
        <f>IF(B10&gt;0,B10*הגדרות!$B$4,"")</f>
        <v/>
      </c>
      <c r="D10" s="35">
        <f>SUMIFS('כל ההוצאות'!$D:$D,'כל ההוצאות'!$B:$B,"IONOS",'כל ההוצאות'!$F:$F,"אוגוסט 2025")</f>
        <v>0</v>
      </c>
      <c r="E10" s="36" t="str">
        <f>IF(D10&gt;0,D10*הגדרות!$B$4,"")</f>
        <v/>
      </c>
      <c r="F10" s="35">
        <f>SUMIFS('כל ההוצאות'!$D:$D,'כל ההוצאות'!$B:$B,"IONOS",'כל ההוצאות'!$F:$F,"ספטמבר 2025")</f>
        <v>0</v>
      </c>
      <c r="G10" s="36" t="str">
        <f>IF(F10&gt;0,F10*הגדרות!$B$4,"")</f>
        <v/>
      </c>
      <c r="H10" s="35">
        <f>SUMIFS('כל ההוצאות'!$D:$D,'כל ההוצאות'!$B:$B,"IONOS",'כל ההוצאות'!$F:$F,"אוקטובר 2025")</f>
        <v>0</v>
      </c>
      <c r="I10" s="36" t="str">
        <f>IF(H10&gt;0,H10*הגדרות!$B$4,"")</f>
        <v/>
      </c>
      <c r="J10" s="35">
        <f>SUMIFS('כל ההוצאות'!$D:$D,'כל ההוצאות'!$B:$B,"IONOS",'כל ההוצאות'!$F:$F,"נובמבר 2025")</f>
        <v>0</v>
      </c>
      <c r="K10" s="36" t="str">
        <f>IF(J10&gt;0,J10*הגדרות!$B$4,"")</f>
        <v/>
      </c>
      <c r="L10" s="35">
        <f>SUMIFS('כל ההוצאות'!$D:$D,'כל ההוצאות'!$B:$B,"IONOS",'כל ההוצאות'!$F:$F,"דצמבר 2025")</f>
        <v>0</v>
      </c>
      <c r="M10" s="36" t="str">
        <f>IF(L10&gt;0,L10*הגדרות!$B$4,"")</f>
        <v/>
      </c>
      <c r="N10" s="35">
        <f>SUMIFS('כל ההוצאות'!$D:$D,'כל ההוצאות'!$B:$B,"IONOS",'כל ההוצאות'!$F:$F,"ינואר 2026")</f>
        <v>0</v>
      </c>
      <c r="O10" s="36" t="str">
        <f>IF(N10&gt;0,N10*הגדרות!$B$4,"")</f>
        <v/>
      </c>
      <c r="P10" s="35">
        <f>SUMIFS('כל ההוצאות'!$D:$D,'כל ההוצאות'!$B:$B,"IONOS",'כל ההוצאות'!$F:$F,"פברואר 2026")</f>
        <v>0</v>
      </c>
      <c r="Q10" s="36" t="str">
        <f>IF(P10&gt;0,P10*הגדרות!$B$4,"")</f>
        <v/>
      </c>
      <c r="R10" s="35">
        <f>SUMIFS('כל ההוצאות'!$D:$D,'כל ההוצאות'!$B:$B,"IONOS",'כל ההוצאות'!$F:$F,"מרץ 2026")</f>
        <v>0</v>
      </c>
      <c r="S10" s="36" t="str">
        <f>IF(R10&gt;0,R10*הגדרות!$B$4,"")</f>
        <v/>
      </c>
      <c r="T10" s="35">
        <f>SUMIFS('כל ההוצאות'!$D:$D,'כל ההוצאות'!$B:$B,"IONOS",'כל ההוצאות'!$F:$F,"אפריל 2026")</f>
        <v>20</v>
      </c>
      <c r="U10" s="36">
        <f>IF(T10&gt;0,T10*הגדרות!$B$4,"")</f>
        <v>73</v>
      </c>
      <c r="V10" s="32">
        <f t="shared" si="0"/>
        <v>20</v>
      </c>
      <c r="W10" s="33">
        <f>IF(V10&gt;0,V10*הגדרות!$B$4,"")</f>
        <v>73</v>
      </c>
    </row>
    <row r="11" spans="1:23" x14ac:dyDescent="0.25">
      <c r="A11" s="29" t="s">
        <v>46</v>
      </c>
      <c r="B11" s="30">
        <f>SUMIFS('כל ההוצאות'!$D:$D,'כל ההוצאות'!$B:$B,"Ideogram AI",'כל ההוצאות'!$F:$F,"יולי 2025")</f>
        <v>185.14</v>
      </c>
      <c r="C11" s="31">
        <f>IF(B11&gt;0,B11*הגדרות!$B$4,"")</f>
        <v>675.76099999999997</v>
      </c>
      <c r="D11" s="30">
        <f>SUMIFS('כל ההוצאות'!$D:$D,'כל ההוצאות'!$B:$B,"Ideogram AI",'כל ההוצאות'!$F:$F,"אוגוסט 2025")</f>
        <v>0</v>
      </c>
      <c r="E11" s="31" t="str">
        <f>IF(D11&gt;0,D11*הגדרות!$B$4,"")</f>
        <v/>
      </c>
      <c r="F11" s="30">
        <f>SUMIFS('כל ההוצאות'!$D:$D,'כל ההוצאות'!$B:$B,"Ideogram AI",'כל ההוצאות'!$F:$F,"ספטמבר 2025")</f>
        <v>0</v>
      </c>
      <c r="G11" s="31" t="str">
        <f>IF(F11&gt;0,F11*הגדרות!$B$4,"")</f>
        <v/>
      </c>
      <c r="H11" s="30">
        <f>SUMIFS('כל ההוצאות'!$D:$D,'כל ההוצאות'!$B:$B,"Ideogram AI",'כל ההוצאות'!$F:$F,"אוקטובר 2025")</f>
        <v>0</v>
      </c>
      <c r="I11" s="31" t="str">
        <f>IF(H11&gt;0,H11*הגדרות!$B$4,"")</f>
        <v/>
      </c>
      <c r="J11" s="30">
        <f>SUMIFS('כל ההוצאות'!$D:$D,'כל ההוצאות'!$B:$B,"Ideogram AI",'כל ההוצאות'!$F:$F,"נובמבר 2025")</f>
        <v>0</v>
      </c>
      <c r="K11" s="31" t="str">
        <f>IF(J11&gt;0,J11*הגדרות!$B$4,"")</f>
        <v/>
      </c>
      <c r="L11" s="30">
        <f>SUMIFS('כל ההוצאות'!$D:$D,'כל ההוצאות'!$B:$B,"Ideogram AI",'כל ההוצאות'!$F:$F,"דצמבר 2025")</f>
        <v>0</v>
      </c>
      <c r="M11" s="31" t="str">
        <f>IF(L11&gt;0,L11*הגדרות!$B$4,"")</f>
        <v/>
      </c>
      <c r="N11" s="30">
        <f>SUMIFS('כל ההוצאות'!$D:$D,'כל ההוצאות'!$B:$B,"Ideogram AI",'כל ההוצאות'!$F:$F,"ינואר 2026")</f>
        <v>0</v>
      </c>
      <c r="O11" s="31" t="str">
        <f>IF(N11&gt;0,N11*הגדרות!$B$4,"")</f>
        <v/>
      </c>
      <c r="P11" s="30">
        <f>SUMIFS('כל ההוצאות'!$D:$D,'כל ההוצאות'!$B:$B,"Ideogram AI",'כל ההוצאות'!$F:$F,"פברואר 2026")</f>
        <v>0</v>
      </c>
      <c r="Q11" s="31" t="str">
        <f>IF(P11&gt;0,P11*הגדרות!$B$4,"")</f>
        <v/>
      </c>
      <c r="R11" s="30">
        <f>SUMIFS('כל ההוצאות'!$D:$D,'כל ההוצאות'!$B:$B,"Ideogram AI",'כל ההוצאות'!$F:$F,"מרץ 2026")</f>
        <v>0</v>
      </c>
      <c r="S11" s="31" t="str">
        <f>IF(R11&gt;0,R11*הגדרות!$B$4,"")</f>
        <v/>
      </c>
      <c r="T11" s="30">
        <f>SUMIFS('כל ההוצאות'!$D:$D,'כל ההוצאות'!$B:$B,"Ideogram AI",'כל ההוצאות'!$F:$F,"אפריל 2026")</f>
        <v>0</v>
      </c>
      <c r="U11" s="31" t="str">
        <f>IF(T11&gt;0,T11*הגדרות!$B$4,"")</f>
        <v/>
      </c>
      <c r="V11" s="32">
        <f t="shared" si="0"/>
        <v>185.14</v>
      </c>
      <c r="W11" s="33">
        <f>IF(V11&gt;0,V11*הגדרות!$B$4,"")</f>
        <v>675.76099999999997</v>
      </c>
    </row>
    <row r="12" spans="1:23" x14ac:dyDescent="0.25">
      <c r="A12" s="34" t="s">
        <v>107</v>
      </c>
      <c r="B12" s="35">
        <f>SUMIFS('כל ההוצאות'!$D:$D,'כל ההוצאות'!$B:$B,"Lovable",'כל ההוצאות'!$F:$F,"יולי 2025")</f>
        <v>0</v>
      </c>
      <c r="C12" s="36" t="str">
        <f>IF(B12&gt;0,B12*הגדרות!$B$4,"")</f>
        <v/>
      </c>
      <c r="D12" s="35">
        <f>SUMIFS('כל ההוצאות'!$D:$D,'כל ההוצאות'!$B:$B,"Lovable",'כל ההוצאות'!$F:$F,"אוגוסט 2025")</f>
        <v>0</v>
      </c>
      <c r="E12" s="36" t="str">
        <f>IF(D12&gt;0,D12*הגדרות!$B$4,"")</f>
        <v/>
      </c>
      <c r="F12" s="35">
        <f>SUMIFS('כל ההוצאות'!$D:$D,'כל ההוצאות'!$B:$B,"Lovable",'כל ההוצאות'!$F:$F,"ספטמבר 2025")</f>
        <v>0</v>
      </c>
      <c r="G12" s="36" t="str">
        <f>IF(F12&gt;0,F12*הגדרות!$B$4,"")</f>
        <v/>
      </c>
      <c r="H12" s="35">
        <f>SUMIFS('כל ההוצאות'!$D:$D,'כל ההוצאות'!$B:$B,"Lovable",'כל ההוצאות'!$F:$F,"אוקטובר 2025")</f>
        <v>0</v>
      </c>
      <c r="I12" s="36" t="str">
        <f>IF(H12&gt;0,H12*הגדרות!$B$4,"")</f>
        <v/>
      </c>
      <c r="J12" s="35">
        <f>SUMIFS('כל ההוצאות'!$D:$D,'כל ההוצאות'!$B:$B,"Lovable",'כל ההוצאות'!$F:$F,"נובמבר 2025")</f>
        <v>0</v>
      </c>
      <c r="K12" s="36" t="str">
        <f>IF(J12&gt;0,J12*הגדרות!$B$4,"")</f>
        <v/>
      </c>
      <c r="L12" s="35">
        <f>SUMIFS('כל ההוצאות'!$D:$D,'כל ההוצאות'!$B:$B,"Lovable",'כל ההוצאות'!$F:$F,"דצמבר 2025")</f>
        <v>0</v>
      </c>
      <c r="M12" s="36" t="str">
        <f>IF(L12&gt;0,L12*הגדרות!$B$4,"")</f>
        <v/>
      </c>
      <c r="N12" s="35">
        <f>SUMIFS('כל ההוצאות'!$D:$D,'כל ההוצאות'!$B:$B,"Lovable",'כל ההוצאות'!$F:$F,"ינואר 2026")</f>
        <v>0</v>
      </c>
      <c r="O12" s="36" t="str">
        <f>IF(N12&gt;0,N12*הגדרות!$B$4,"")</f>
        <v/>
      </c>
      <c r="P12" s="35">
        <f>SUMIFS('כל ההוצאות'!$D:$D,'כל ההוצאות'!$B:$B,"Lovable",'כל ההוצאות'!$F:$F,"פברואר 2026")</f>
        <v>75</v>
      </c>
      <c r="Q12" s="36">
        <f>IF(P12&gt;0,P12*הגדרות!$B$4,"")</f>
        <v>273.75</v>
      </c>
      <c r="R12" s="35">
        <f>SUMIFS('כל ההוצאות'!$D:$D,'כל ההוצאות'!$B:$B,"Lovable",'כל ההוצאות'!$F:$F,"מרץ 2026")</f>
        <v>5</v>
      </c>
      <c r="S12" s="36">
        <f>IF(R12&gt;0,R12*הגדרות!$B$4,"")</f>
        <v>18.25</v>
      </c>
      <c r="T12" s="35">
        <f>SUMIFS('כל ההוצאות'!$D:$D,'כל ההוצאות'!$B:$B,"Lovable",'כל ההוצאות'!$F:$F,"אפריל 2026")</f>
        <v>0</v>
      </c>
      <c r="U12" s="36" t="str">
        <f>IF(T12&gt;0,T12*הגדרות!$B$4,"")</f>
        <v/>
      </c>
      <c r="V12" s="32">
        <f t="shared" si="0"/>
        <v>80</v>
      </c>
      <c r="W12" s="33">
        <f>IF(V12&gt;0,V12*הגדרות!$B$4,"")</f>
        <v>292</v>
      </c>
    </row>
    <row r="13" spans="1:23" x14ac:dyDescent="0.25">
      <c r="A13" s="29" t="s">
        <v>49</v>
      </c>
      <c r="B13" s="30">
        <f>SUMIFS('כל ההוצאות'!$D:$D,'כל ההוצאות'!$B:$B,"Make",'כל ההוצאות'!$F:$F,"יולי 2025")</f>
        <v>10.59</v>
      </c>
      <c r="C13" s="31">
        <f>IF(B13&gt;0,B13*הגדרות!$B$4,"")</f>
        <v>38.653500000000001</v>
      </c>
      <c r="D13" s="30">
        <f>SUMIFS('כל ההוצאות'!$D:$D,'כל ההוצאות'!$B:$B,"Make",'כל ההוצאות'!$F:$F,"אוגוסט 2025")</f>
        <v>10.59</v>
      </c>
      <c r="E13" s="31">
        <f>IF(D13&gt;0,D13*הגדרות!$B$4,"")</f>
        <v>38.653500000000001</v>
      </c>
      <c r="F13" s="30">
        <f>SUMIFS('כל ההוצאות'!$D:$D,'כל ההוצאות'!$B:$B,"Make",'כל ההוצאות'!$F:$F,"ספטמבר 2025")</f>
        <v>10.59</v>
      </c>
      <c r="G13" s="31">
        <f>IF(F13&gt;0,F13*הגדרות!$B$4,"")</f>
        <v>38.653500000000001</v>
      </c>
      <c r="H13" s="30">
        <f>SUMIFS('כל ההוצאות'!$D:$D,'כל ההוצאות'!$B:$B,"Make",'כל ההוצאות'!$F:$F,"אוקטובר 2025")</f>
        <v>0</v>
      </c>
      <c r="I13" s="31" t="str">
        <f>IF(H13&gt;0,H13*הגדרות!$B$4,"")</f>
        <v/>
      </c>
      <c r="J13" s="30">
        <f>SUMIFS('כל ההוצאות'!$D:$D,'כל ההוצאות'!$B:$B,"Make",'כל ההוצאות'!$F:$F,"נובמבר 2025")</f>
        <v>0</v>
      </c>
      <c r="K13" s="31" t="str">
        <f>IF(J13&gt;0,J13*הגדרות!$B$4,"")</f>
        <v/>
      </c>
      <c r="L13" s="30">
        <f>SUMIFS('כל ההוצאות'!$D:$D,'כל ההוצאות'!$B:$B,"Make",'כל ההוצאות'!$F:$F,"דצמבר 2025")</f>
        <v>0</v>
      </c>
      <c r="M13" s="31" t="str">
        <f>IF(L13&gt;0,L13*הגדרות!$B$4,"")</f>
        <v/>
      </c>
      <c r="N13" s="30">
        <f>SUMIFS('כל ההוצאות'!$D:$D,'כל ההוצאות'!$B:$B,"Make",'כל ההוצאות'!$F:$F,"ינואר 2026")</f>
        <v>0</v>
      </c>
      <c r="O13" s="31" t="str">
        <f>IF(N13&gt;0,N13*הגדרות!$B$4,"")</f>
        <v/>
      </c>
      <c r="P13" s="30">
        <f>SUMIFS('כל ההוצאות'!$D:$D,'כל ההוצאות'!$B:$B,"Make",'כל ההוצאות'!$F:$F,"פברואר 2026")</f>
        <v>0</v>
      </c>
      <c r="Q13" s="31" t="str">
        <f>IF(P13&gt;0,P13*הגדרות!$B$4,"")</f>
        <v/>
      </c>
      <c r="R13" s="30">
        <f>SUMIFS('כל ההוצאות'!$D:$D,'כל ההוצאות'!$B:$B,"Make",'כל ההוצאות'!$F:$F,"מרץ 2026")</f>
        <v>0</v>
      </c>
      <c r="S13" s="31" t="str">
        <f>IF(R13&gt;0,R13*הגדרות!$B$4,"")</f>
        <v/>
      </c>
      <c r="T13" s="30">
        <f>SUMIFS('כל ההוצאות'!$D:$D,'כל ההוצאות'!$B:$B,"Make",'כל ההוצאות'!$F:$F,"אפריל 2026")</f>
        <v>0</v>
      </c>
      <c r="U13" s="31" t="str">
        <f>IF(T13&gt;0,T13*הגדרות!$B$4,"")</f>
        <v/>
      </c>
      <c r="V13" s="32">
        <f t="shared" si="0"/>
        <v>31.77</v>
      </c>
      <c r="W13" s="33">
        <f>IF(V13&gt;0,V13*הגדרות!$B$4,"")</f>
        <v>115.9605</v>
      </c>
    </row>
    <row r="14" spans="1:23" x14ac:dyDescent="0.25">
      <c r="A14" s="34" t="s">
        <v>68</v>
      </c>
      <c r="B14" s="35">
        <f>SUMIFS('כל ההוצאות'!$D:$D,'כל ההוצאות'!$B:$B,"Manus AI",'כל ההוצאות'!$F:$F,"יולי 2025")</f>
        <v>0</v>
      </c>
      <c r="C14" s="36" t="str">
        <f>IF(B14&gt;0,B14*הגדרות!$B$4,"")</f>
        <v/>
      </c>
      <c r="D14" s="35">
        <f>SUMIFS('כל ההוצאות'!$D:$D,'כל ההוצאות'!$B:$B,"Manus AI",'כל ההוצאות'!$F:$F,"אוגוסט 2025")</f>
        <v>19</v>
      </c>
      <c r="E14" s="36">
        <f>IF(D14&gt;0,D14*הגדרות!$B$4,"")</f>
        <v>69.349999999999994</v>
      </c>
      <c r="F14" s="35">
        <f>SUMIFS('כל ההוצאות'!$D:$D,'כל ההוצאות'!$B:$B,"Manus AI",'כל ההוצאות'!$F:$F,"ספטמבר 2025")</f>
        <v>0</v>
      </c>
      <c r="G14" s="36" t="str">
        <f>IF(F14&gt;0,F14*הגדרות!$B$4,"")</f>
        <v/>
      </c>
      <c r="H14" s="35">
        <f>SUMIFS('כל ההוצאות'!$D:$D,'כל ההוצאות'!$B:$B,"Manus AI",'כל ההוצאות'!$F:$F,"אוקטובר 2025")</f>
        <v>0</v>
      </c>
      <c r="I14" s="36" t="str">
        <f>IF(H14&gt;0,H14*הגדרות!$B$4,"")</f>
        <v/>
      </c>
      <c r="J14" s="35">
        <f>SUMIFS('כל ההוצאות'!$D:$D,'כל ההוצאות'!$B:$B,"Manus AI",'כל ההוצאות'!$F:$F,"נובמבר 2025")</f>
        <v>0</v>
      </c>
      <c r="K14" s="36" t="str">
        <f>IF(J14&gt;0,J14*הגדרות!$B$4,"")</f>
        <v/>
      </c>
      <c r="L14" s="35">
        <f>SUMIFS('כל ההוצאות'!$D:$D,'כל ההוצאות'!$B:$B,"Manus AI",'כל ההוצאות'!$F:$F,"דצמבר 2025")</f>
        <v>0</v>
      </c>
      <c r="M14" s="36" t="str">
        <f>IF(L14&gt;0,L14*הגדרות!$B$4,"")</f>
        <v/>
      </c>
      <c r="N14" s="35">
        <f>SUMIFS('כל ההוצאות'!$D:$D,'כל ההוצאות'!$B:$B,"Manus AI",'כל ההוצאות'!$F:$F,"ינואר 2026")</f>
        <v>0</v>
      </c>
      <c r="O14" s="36" t="str">
        <f>IF(N14&gt;0,N14*הגדרות!$B$4,"")</f>
        <v/>
      </c>
      <c r="P14" s="35">
        <f>SUMIFS('כל ההוצאות'!$D:$D,'כל ההוצאות'!$B:$B,"Manus AI",'כל ההוצאות'!$F:$F,"פברואר 2026")</f>
        <v>0</v>
      </c>
      <c r="Q14" s="36" t="str">
        <f>IF(P14&gt;0,P14*הגדרות!$B$4,"")</f>
        <v/>
      </c>
      <c r="R14" s="35">
        <f>SUMIFS('כל ההוצאות'!$D:$D,'כל ההוצאות'!$B:$B,"Manus AI",'כל ההוצאות'!$F:$F,"מרץ 2026")</f>
        <v>0</v>
      </c>
      <c r="S14" s="36" t="str">
        <f>IF(R14&gt;0,R14*הגדרות!$B$4,"")</f>
        <v/>
      </c>
      <c r="T14" s="35">
        <f>SUMIFS('כל ההוצאות'!$D:$D,'כל ההוצאות'!$B:$B,"Manus AI",'כל ההוצאות'!$F:$F,"אפריל 2026")</f>
        <v>0</v>
      </c>
      <c r="U14" s="36" t="str">
        <f>IF(T14&gt;0,T14*הגדרות!$B$4,"")</f>
        <v/>
      </c>
      <c r="V14" s="32">
        <f t="shared" si="0"/>
        <v>19</v>
      </c>
      <c r="W14" s="33">
        <f>IF(V14&gt;0,V14*הגדרות!$B$4,"")</f>
        <v>69.349999999999994</v>
      </c>
    </row>
    <row r="15" spans="1:23" x14ac:dyDescent="0.25">
      <c r="A15" s="29" t="s">
        <v>94</v>
      </c>
      <c r="B15" s="30">
        <f>SUMIFS('כל ההוצאות'!$D:$D,'כל ההוצאות'!$B:$B,"Manychat",'כל ההוצאות'!$F:$F,"יולי 2025")</f>
        <v>0</v>
      </c>
      <c r="C15" s="31" t="str">
        <f>IF(B15&gt;0,B15*הגדרות!$B$4,"")</f>
        <v/>
      </c>
      <c r="D15" s="30">
        <f>SUMIFS('כל ההוצאות'!$D:$D,'כל ההוצאות'!$B:$B,"Manychat",'כל ההוצאות'!$F:$F,"אוגוסט 2025")</f>
        <v>0</v>
      </c>
      <c r="E15" s="31" t="str">
        <f>IF(D15&gt;0,D15*הגדרות!$B$4,"")</f>
        <v/>
      </c>
      <c r="F15" s="30">
        <f>SUMIFS('כל ההוצאות'!$D:$D,'כל ההוצאות'!$B:$B,"Manychat",'כל ההוצאות'!$F:$F,"ספטמבר 2025")</f>
        <v>0</v>
      </c>
      <c r="G15" s="31" t="str">
        <f>IF(F15&gt;0,F15*הגדרות!$B$4,"")</f>
        <v/>
      </c>
      <c r="H15" s="30">
        <f>SUMIFS('כל ההוצאות'!$D:$D,'כל ההוצאות'!$B:$B,"Manychat",'כל ההוצאות'!$F:$F,"אוקטובר 2025")</f>
        <v>0</v>
      </c>
      <c r="I15" s="31" t="str">
        <f>IF(H15&gt;0,H15*הגדרות!$B$4,"")</f>
        <v/>
      </c>
      <c r="J15" s="30">
        <f>SUMIFS('כל ההוצאות'!$D:$D,'כל ההוצאות'!$B:$B,"Manychat",'כל ההוצאות'!$F:$F,"נובמבר 2025")</f>
        <v>0</v>
      </c>
      <c r="K15" s="31" t="str">
        <f>IF(J15&gt;0,J15*הגדרות!$B$4,"")</f>
        <v/>
      </c>
      <c r="L15" s="30">
        <f>SUMIFS('כל ההוצאות'!$D:$D,'כל ההוצאות'!$B:$B,"Manychat",'כל ההוצאות'!$F:$F,"דצמבר 2025")</f>
        <v>15</v>
      </c>
      <c r="M15" s="31">
        <f>IF(L15&gt;0,L15*הגדרות!$B$4,"")</f>
        <v>54.75</v>
      </c>
      <c r="N15" s="30">
        <f>SUMIFS('כל ההוצאות'!$D:$D,'כל ההוצאות'!$B:$B,"Manychat",'כל ההוצאות'!$F:$F,"ינואר 2026")</f>
        <v>15</v>
      </c>
      <c r="O15" s="31">
        <f>IF(N15&gt;0,N15*הגדרות!$B$4,"")</f>
        <v>54.75</v>
      </c>
      <c r="P15" s="30">
        <f>SUMIFS('כל ההוצאות'!$D:$D,'כל ההוצאות'!$B:$B,"Manychat",'כל ההוצאות'!$F:$F,"פברואר 2026")</f>
        <v>0</v>
      </c>
      <c r="Q15" s="31" t="str">
        <f>IF(P15&gt;0,P15*הגדרות!$B$4,"")</f>
        <v/>
      </c>
      <c r="R15" s="30">
        <f>SUMIFS('כל ההוצאות'!$D:$D,'כל ההוצאות'!$B:$B,"Manychat",'כל ההוצאות'!$F:$F,"מרץ 2026")</f>
        <v>0</v>
      </c>
      <c r="S15" s="31" t="str">
        <f>IF(R15&gt;0,R15*הגדרות!$B$4,"")</f>
        <v/>
      </c>
      <c r="T15" s="30">
        <f>SUMIFS('כל ההוצאות'!$D:$D,'כל ההוצאות'!$B:$B,"Manychat",'כל ההוצאות'!$F:$F,"אפריל 2026")</f>
        <v>0</v>
      </c>
      <c r="U15" s="31" t="str">
        <f>IF(T15&gt;0,T15*הגדרות!$B$4,"")</f>
        <v/>
      </c>
      <c r="V15" s="32">
        <f t="shared" si="0"/>
        <v>30</v>
      </c>
      <c r="W15" s="33">
        <f>IF(V15&gt;0,V15*הגדרות!$B$4,"")</f>
        <v>109.5</v>
      </c>
    </row>
    <row r="16" spans="1:23" x14ac:dyDescent="0.25">
      <c r="A16" s="34" t="s">
        <v>113</v>
      </c>
      <c r="B16" s="35">
        <f>SUMIFS('כל ההוצאות'!$D:$D,'כל ההוצאות'!$B:$B,"Meta (Ads)",'כל ההוצאות'!$F:$F,"יולי 2025")</f>
        <v>0</v>
      </c>
      <c r="C16" s="36" t="str">
        <f>IF(B16&gt;0,B16*הגדרות!$B$4,"")</f>
        <v/>
      </c>
      <c r="D16" s="35">
        <f>SUMIFS('כל ההוצאות'!$D:$D,'כל ההוצאות'!$B:$B,"Meta (Ads)",'כל ההוצאות'!$F:$F,"אוגוסט 2025")</f>
        <v>0</v>
      </c>
      <c r="E16" s="36" t="str">
        <f>IF(D16&gt;0,D16*הגדרות!$B$4,"")</f>
        <v/>
      </c>
      <c r="F16" s="35">
        <f>SUMIFS('כל ההוצאות'!$D:$D,'כל ההוצאות'!$B:$B,"Meta (Ads)",'כל ההוצאות'!$F:$F,"ספטמבר 2025")</f>
        <v>0</v>
      </c>
      <c r="G16" s="36" t="str">
        <f>IF(F16&gt;0,F16*הגדרות!$B$4,"")</f>
        <v/>
      </c>
      <c r="H16" s="35">
        <f>SUMIFS('כל ההוצאות'!$D:$D,'כל ההוצאות'!$B:$B,"Meta (Ads)",'כל ההוצאות'!$F:$F,"אוקטובר 2025")</f>
        <v>0</v>
      </c>
      <c r="I16" s="36" t="str">
        <f>IF(H16&gt;0,H16*הגדרות!$B$4,"")</f>
        <v/>
      </c>
      <c r="J16" s="35">
        <f>SUMIFS('כל ההוצאות'!$D:$D,'כל ההוצאות'!$B:$B,"Meta (Ads)",'כל ההוצאות'!$F:$F,"נובמבר 2025")</f>
        <v>0</v>
      </c>
      <c r="K16" s="36" t="str">
        <f>IF(J16&gt;0,J16*הגדרות!$B$4,"")</f>
        <v/>
      </c>
      <c r="L16" s="35">
        <f>SUMIFS('כל ההוצאות'!$D:$D,'כל ההוצאות'!$B:$B,"Meta (Ads)",'כל ההוצאות'!$F:$F,"דצמבר 2025")</f>
        <v>0</v>
      </c>
      <c r="M16" s="36" t="str">
        <f>IF(L16&gt;0,L16*הגדרות!$B$4,"")</f>
        <v/>
      </c>
      <c r="N16" s="35">
        <f>SUMIFS('כל ההוצאות'!$D:$D,'כל ההוצאות'!$B:$B,"Meta (Ads)",'כל ההוצאות'!$F:$F,"ינואר 2026")</f>
        <v>0</v>
      </c>
      <c r="O16" s="36" t="str">
        <f>IF(N16&gt;0,N16*הגדרות!$B$4,"")</f>
        <v/>
      </c>
      <c r="P16" s="35">
        <f>SUMIFS('כל ההוצאות'!$D:$D,'כל ההוצאות'!$B:$B,"Meta (Ads)",'כל ההוצאות'!$F:$F,"פברואר 2026")</f>
        <v>51</v>
      </c>
      <c r="Q16" s="36">
        <f>IF(P16&gt;0,P16*הגדרות!$B$4,"")</f>
        <v>186.15</v>
      </c>
      <c r="R16" s="35">
        <f>SUMIFS('כל ההוצאות'!$D:$D,'כל ההוצאות'!$B:$B,"Meta (Ads)",'כל ההוצאות'!$F:$F,"מרץ 2026")</f>
        <v>91.11</v>
      </c>
      <c r="S16" s="36">
        <f>IF(R16&gt;0,R16*הגדרות!$B$4,"")</f>
        <v>332.55149999999998</v>
      </c>
      <c r="T16" s="35">
        <f>SUMIFS('כל ההוצאות'!$D:$D,'כל ההוצאות'!$B:$B,"Meta (Ads)",'כל ההוצאות'!$F:$F,"אפריל 2026")</f>
        <v>2.25</v>
      </c>
      <c r="U16" s="36">
        <f>IF(T16&gt;0,T16*הגדרות!$B$4,"")</f>
        <v>8.2125000000000004</v>
      </c>
      <c r="V16" s="32">
        <f t="shared" si="0"/>
        <v>144.36000000000001</v>
      </c>
      <c r="W16" s="33">
        <f>IF(V16&gt;0,V16*הגדרות!$B$4,"")</f>
        <v>526.91399999999999</v>
      </c>
    </row>
    <row r="17" spans="1:23" x14ac:dyDescent="0.25">
      <c r="A17" s="29" t="s">
        <v>43</v>
      </c>
      <c r="B17" s="30">
        <f>SUMIFS('כל ההוצאות'!$D:$D,'כל ההוצאות'!$B:$B,"Recraft",'כל ההוצאות'!$F:$F,"יולי 2025")</f>
        <v>1</v>
      </c>
      <c r="C17" s="31">
        <f>IF(B17&gt;0,B17*הגדרות!$B$4,"")</f>
        <v>3.65</v>
      </c>
      <c r="D17" s="30">
        <f>SUMIFS('כל ההוצאות'!$D:$D,'כל ההוצאות'!$B:$B,"Recraft",'כל ההוצאות'!$F:$F,"אוגוסט 2025")</f>
        <v>12</v>
      </c>
      <c r="E17" s="31">
        <f>IF(D17&gt;0,D17*הגדרות!$B$4,"")</f>
        <v>43.8</v>
      </c>
      <c r="F17" s="30">
        <f>SUMIFS('כל ההוצאות'!$D:$D,'כל ההוצאות'!$B:$B,"Recraft",'כל ההוצאות'!$F:$F,"ספטמבר 2025")</f>
        <v>0</v>
      </c>
      <c r="G17" s="31" t="str">
        <f>IF(F17&gt;0,F17*הגדרות!$B$4,"")</f>
        <v/>
      </c>
      <c r="H17" s="30">
        <f>SUMIFS('כל ההוצאות'!$D:$D,'כל ההוצאות'!$B:$B,"Recraft",'כל ההוצאות'!$F:$F,"אוקטובר 2025")</f>
        <v>0</v>
      </c>
      <c r="I17" s="31" t="str">
        <f>IF(H17&gt;0,H17*הגדרות!$B$4,"")</f>
        <v/>
      </c>
      <c r="J17" s="30">
        <f>SUMIFS('כל ההוצאות'!$D:$D,'כל ההוצאות'!$B:$B,"Recraft",'כל ההוצאות'!$F:$F,"נובמבר 2025")</f>
        <v>12</v>
      </c>
      <c r="K17" s="31">
        <f>IF(J17&gt;0,J17*הגדרות!$B$4,"")</f>
        <v>43.8</v>
      </c>
      <c r="L17" s="30">
        <f>SUMIFS('כל ההוצאות'!$D:$D,'כל ההוצאות'!$B:$B,"Recraft",'כל ההוצאות'!$F:$F,"דצמבר 2025")</f>
        <v>0</v>
      </c>
      <c r="M17" s="31" t="str">
        <f>IF(L17&gt;0,L17*הגדרות!$B$4,"")</f>
        <v/>
      </c>
      <c r="N17" s="30">
        <f>SUMIFS('כל ההוצאות'!$D:$D,'כל ההוצאות'!$B:$B,"Recraft",'כל ההוצאות'!$F:$F,"ינואר 2026")</f>
        <v>0</v>
      </c>
      <c r="O17" s="31" t="str">
        <f>IF(N17&gt;0,N17*הגדרות!$B$4,"")</f>
        <v/>
      </c>
      <c r="P17" s="30">
        <f>SUMIFS('כל ההוצאות'!$D:$D,'כל ההוצאות'!$B:$B,"Recraft",'כל ההוצאות'!$F:$F,"פברואר 2026")</f>
        <v>0</v>
      </c>
      <c r="Q17" s="31" t="str">
        <f>IF(P17&gt;0,P17*הגדרות!$B$4,"")</f>
        <v/>
      </c>
      <c r="R17" s="30">
        <f>SUMIFS('כל ההוצאות'!$D:$D,'כל ההוצאות'!$B:$B,"Recraft",'כל ההוצאות'!$F:$F,"מרץ 2026")</f>
        <v>0</v>
      </c>
      <c r="S17" s="31" t="str">
        <f>IF(R17&gt;0,R17*הגדרות!$B$4,"")</f>
        <v/>
      </c>
      <c r="T17" s="30">
        <f>SUMIFS('כל ההוצאות'!$D:$D,'כל ההוצאות'!$B:$B,"Recraft",'כל ההוצאות'!$F:$F,"אפריל 2026")</f>
        <v>0</v>
      </c>
      <c r="U17" s="31" t="str">
        <f>IF(T17&gt;0,T17*הגדרות!$B$4,"")</f>
        <v/>
      </c>
      <c r="V17" s="32">
        <f t="shared" si="0"/>
        <v>25</v>
      </c>
      <c r="W17" s="33">
        <f>IF(V17&gt;0,V17*הגדרות!$B$4,"")</f>
        <v>91.25</v>
      </c>
    </row>
    <row r="18" spans="1:23" x14ac:dyDescent="0.25">
      <c r="A18" s="34" t="s">
        <v>58</v>
      </c>
      <c r="B18" s="35">
        <f>SUMIFS('כל ההוצאות'!$D:$D,'כל ההוצאות'!$B:$B,"Replicate",'כל ההוצאות'!$F:$F,"יולי 2025")</f>
        <v>10</v>
      </c>
      <c r="C18" s="36">
        <f>IF(B18&gt;0,B18*הגדרות!$B$4,"")</f>
        <v>36.5</v>
      </c>
      <c r="D18" s="35">
        <f>SUMIFS('כל ההוצאות'!$D:$D,'כל ההוצאות'!$B:$B,"Replicate",'כל ההוצאות'!$F:$F,"אוגוסט 2025")</f>
        <v>0.9</v>
      </c>
      <c r="E18" s="36">
        <f>IF(D18&gt;0,D18*הגדרות!$B$4,"")</f>
        <v>3.2850000000000001</v>
      </c>
      <c r="F18" s="35">
        <f>SUMIFS('כל ההוצאות'!$D:$D,'כל ההוצאות'!$B:$B,"Replicate",'כל ההוצאות'!$F:$F,"ספטמבר 2025")</f>
        <v>2.79</v>
      </c>
      <c r="G18" s="36">
        <f>IF(F18&gt;0,F18*הגדרות!$B$4,"")</f>
        <v>10.1835</v>
      </c>
      <c r="H18" s="35">
        <f>SUMIFS('כל ההוצאות'!$D:$D,'כל ההוצאות'!$B:$B,"Replicate",'כל ההוצאות'!$F:$F,"אוקטובר 2025")</f>
        <v>0</v>
      </c>
      <c r="I18" s="36" t="str">
        <f>IF(H18&gt;0,H18*הגדרות!$B$4,"")</f>
        <v/>
      </c>
      <c r="J18" s="35">
        <f>SUMIFS('כל ההוצאות'!$D:$D,'כל ההוצאות'!$B:$B,"Replicate",'כל ההוצאות'!$F:$F,"נובמבר 2025")</f>
        <v>0</v>
      </c>
      <c r="K18" s="36" t="str">
        <f>IF(J18&gt;0,J18*הגדרות!$B$4,"")</f>
        <v/>
      </c>
      <c r="L18" s="35">
        <f>SUMIFS('כל ההוצאות'!$D:$D,'כל ההוצאות'!$B:$B,"Replicate",'כל ההוצאות'!$F:$F,"דצמבר 2025")</f>
        <v>0</v>
      </c>
      <c r="M18" s="36" t="str">
        <f>IF(L18&gt;0,L18*הגדרות!$B$4,"")</f>
        <v/>
      </c>
      <c r="N18" s="35">
        <f>SUMIFS('כל ההוצאות'!$D:$D,'כל ההוצאות'!$B:$B,"Replicate",'כל ההוצאות'!$F:$F,"ינואר 2026")</f>
        <v>0</v>
      </c>
      <c r="O18" s="36" t="str">
        <f>IF(N18&gt;0,N18*הגדרות!$B$4,"")</f>
        <v/>
      </c>
      <c r="P18" s="35">
        <f>SUMIFS('כל ההוצאות'!$D:$D,'כל ההוצאות'!$B:$B,"Replicate",'כל ההוצאות'!$F:$F,"פברואר 2026")</f>
        <v>0</v>
      </c>
      <c r="Q18" s="36" t="str">
        <f>IF(P18&gt;0,P18*הגדרות!$B$4,"")</f>
        <v/>
      </c>
      <c r="R18" s="35">
        <f>SUMIFS('כל ההוצאות'!$D:$D,'כל ההוצאות'!$B:$B,"Replicate",'כל ההוצאות'!$F:$F,"מרץ 2026")</f>
        <v>0</v>
      </c>
      <c r="S18" s="36" t="str">
        <f>IF(R18&gt;0,R18*הגדרות!$B$4,"")</f>
        <v/>
      </c>
      <c r="T18" s="35">
        <f>SUMIFS('כל ההוצאות'!$D:$D,'כל ההוצאות'!$B:$B,"Replicate",'כל ההוצאות'!$F:$F,"אפריל 2026")</f>
        <v>0</v>
      </c>
      <c r="U18" s="36" t="str">
        <f>IF(T18&gt;0,T18*הגדרות!$B$4,"")</f>
        <v/>
      </c>
      <c r="V18" s="32">
        <f t="shared" si="0"/>
        <v>13.690000000000001</v>
      </c>
      <c r="W18" s="33">
        <f>IF(V18&gt;0,V18*הגדרות!$B$4,"")</f>
        <v>49.968500000000006</v>
      </c>
    </row>
    <row r="19" spans="1:23" x14ac:dyDescent="0.25">
      <c r="A19" s="29" t="s">
        <v>55</v>
      </c>
      <c r="B19" s="30">
        <f>SUMIFS('כל ההוצאות'!$D:$D,'כל ההוצאות'!$B:$B,"Runway ML",'כל ההוצאות'!$F:$F,"יולי 2025")</f>
        <v>13.5</v>
      </c>
      <c r="C19" s="31">
        <f>IF(B19&gt;0,B19*הגדרות!$B$4,"")</f>
        <v>49.274999999999999</v>
      </c>
      <c r="D19" s="30">
        <f>SUMIFS('כל ההוצאות'!$D:$D,'כל ההוצאות'!$B:$B,"Runway ML",'כל ההוצאות'!$F:$F,"אוגוסט 2025")</f>
        <v>26.25</v>
      </c>
      <c r="E19" s="31">
        <f>IF(D19&gt;0,D19*הגדרות!$B$4,"")</f>
        <v>95.8125</v>
      </c>
      <c r="F19" s="30">
        <f>SUMIFS('כל ההוצאות'!$D:$D,'כל ההוצאות'!$B:$B,"Runway ML",'כל ההוצאות'!$F:$F,"ספטמבר 2025")</f>
        <v>0</v>
      </c>
      <c r="G19" s="31" t="str">
        <f>IF(F19&gt;0,F19*הגדרות!$B$4,"")</f>
        <v/>
      </c>
      <c r="H19" s="30">
        <f>SUMIFS('כל ההוצאות'!$D:$D,'כל ההוצאות'!$B:$B,"Runway ML",'כל ההוצאות'!$F:$F,"אוקטובר 2025")</f>
        <v>0</v>
      </c>
      <c r="I19" s="31" t="str">
        <f>IF(H19&gt;0,H19*הגדרות!$B$4,"")</f>
        <v/>
      </c>
      <c r="J19" s="30">
        <f>SUMIFS('כל ההוצאות'!$D:$D,'כל ההוצאות'!$B:$B,"Runway ML",'כל ההוצאות'!$F:$F,"נובמבר 2025")</f>
        <v>15</v>
      </c>
      <c r="K19" s="31">
        <f>IF(J19&gt;0,J19*הגדרות!$B$4,"")</f>
        <v>54.75</v>
      </c>
      <c r="L19" s="30">
        <f>SUMIFS('כל ההוצאות'!$D:$D,'כל ההוצאות'!$B:$B,"Runway ML",'כל ההוצאות'!$F:$F,"דצמבר 2025")</f>
        <v>0</v>
      </c>
      <c r="M19" s="31" t="str">
        <f>IF(L19&gt;0,L19*הגדרות!$B$4,"")</f>
        <v/>
      </c>
      <c r="N19" s="30">
        <f>SUMIFS('כל ההוצאות'!$D:$D,'כל ההוצאות'!$B:$B,"Runway ML",'כל ההוצאות'!$F:$F,"ינואר 2026")</f>
        <v>0</v>
      </c>
      <c r="O19" s="31" t="str">
        <f>IF(N19&gt;0,N19*הגדרות!$B$4,"")</f>
        <v/>
      </c>
      <c r="P19" s="30">
        <f>SUMIFS('כל ההוצאות'!$D:$D,'כל ההוצאות'!$B:$B,"Runway ML",'כל ההוצאות'!$F:$F,"פברואר 2026")</f>
        <v>0</v>
      </c>
      <c r="Q19" s="31" t="str">
        <f>IF(P19&gt;0,P19*הגדרות!$B$4,"")</f>
        <v/>
      </c>
      <c r="R19" s="30">
        <f>SUMIFS('כל ההוצאות'!$D:$D,'כל ההוצאות'!$B:$B,"Runway ML",'כל ההוצאות'!$F:$F,"מרץ 2026")</f>
        <v>0</v>
      </c>
      <c r="S19" s="31" t="str">
        <f>IF(R19&gt;0,R19*הגדרות!$B$4,"")</f>
        <v/>
      </c>
      <c r="T19" s="30">
        <f>SUMIFS('כל ההוצאות'!$D:$D,'כל ההוצאות'!$B:$B,"Runway ML",'כל ההוצאות'!$F:$F,"אפריל 2026")</f>
        <v>0</v>
      </c>
      <c r="U19" s="31" t="str">
        <f>IF(T19&gt;0,T19*הגדרות!$B$4,"")</f>
        <v/>
      </c>
      <c r="V19" s="32">
        <f t="shared" si="0"/>
        <v>54.75</v>
      </c>
      <c r="W19" s="33">
        <f>IF(V19&gt;0,V19*הגדרות!$B$4,"")</f>
        <v>199.83750000000001</v>
      </c>
    </row>
    <row r="20" spans="1:23" x14ac:dyDescent="0.25">
      <c r="A20" s="34" t="s">
        <v>104</v>
      </c>
      <c r="B20" s="35">
        <f>SUMIFS('כל ההוצאות'!$D:$D,'כל ההוצאות'!$B:$B,"Timeless",'כל ההוצאות'!$F:$F,"יולי 2025")</f>
        <v>0</v>
      </c>
      <c r="C20" s="36" t="str">
        <f>IF(B20&gt;0,B20*הגדרות!$B$4,"")</f>
        <v/>
      </c>
      <c r="D20" s="35">
        <f>SUMIFS('כל ההוצאות'!$D:$D,'כל ההוצאות'!$B:$B,"Timeless",'כל ההוצאות'!$F:$F,"אוגוסט 2025")</f>
        <v>0</v>
      </c>
      <c r="E20" s="36" t="str">
        <f>IF(D20&gt;0,D20*הגדרות!$B$4,"")</f>
        <v/>
      </c>
      <c r="F20" s="35">
        <f>SUMIFS('כל ההוצאות'!$D:$D,'כל ההוצאות'!$B:$B,"Timeless",'כל ההוצאות'!$F:$F,"ספטמבר 2025")</f>
        <v>0</v>
      </c>
      <c r="G20" s="36" t="str">
        <f>IF(F20&gt;0,F20*הגדרות!$B$4,"")</f>
        <v/>
      </c>
      <c r="H20" s="35">
        <f>SUMIFS('כל ההוצאות'!$D:$D,'כל ההוצאות'!$B:$B,"Timeless",'כל ההוצאות'!$F:$F,"אוקטובר 2025")</f>
        <v>0</v>
      </c>
      <c r="I20" s="36" t="str">
        <f>IF(H20&gt;0,H20*הגדרות!$B$4,"")</f>
        <v/>
      </c>
      <c r="J20" s="35">
        <f>SUMIFS('כל ההוצאות'!$D:$D,'כל ההוצאות'!$B:$B,"Timeless",'כל ההוצאות'!$F:$F,"נובמבר 2025")</f>
        <v>0</v>
      </c>
      <c r="K20" s="36" t="str">
        <f>IF(J20&gt;0,J20*הגדרות!$B$4,"")</f>
        <v/>
      </c>
      <c r="L20" s="35">
        <f>SUMIFS('כל ההוצאות'!$D:$D,'כל ההוצאות'!$B:$B,"Timeless",'כל ההוצאות'!$F:$F,"דצמבר 2025")</f>
        <v>0</v>
      </c>
      <c r="M20" s="36" t="str">
        <f>IF(L20&gt;0,L20*הגדרות!$B$4,"")</f>
        <v/>
      </c>
      <c r="N20" s="35">
        <f>SUMIFS('כל ההוצאות'!$D:$D,'כל ההוצאות'!$B:$B,"Timeless",'כל ההוצאות'!$F:$F,"ינואר 2026")</f>
        <v>14.5</v>
      </c>
      <c r="O20" s="36">
        <f>IF(N20&gt;0,N20*הגדרות!$B$4,"")</f>
        <v>52.924999999999997</v>
      </c>
      <c r="P20" s="35">
        <f>SUMIFS('כל ההוצאות'!$D:$D,'כל ההוצאות'!$B:$B,"Timeless",'כל ההוצאות'!$F:$F,"פברואר 2026")</f>
        <v>0</v>
      </c>
      <c r="Q20" s="36" t="str">
        <f>IF(P20&gt;0,P20*הגדרות!$B$4,"")</f>
        <v/>
      </c>
      <c r="R20" s="35">
        <f>SUMIFS('כל ההוצאות'!$D:$D,'כל ההוצאות'!$B:$B,"Timeless",'כל ההוצאות'!$F:$F,"מרץ 2026")</f>
        <v>14.5</v>
      </c>
      <c r="S20" s="36">
        <f>IF(R20&gt;0,R20*הגדרות!$B$4,"")</f>
        <v>52.924999999999997</v>
      </c>
      <c r="T20" s="35">
        <f>SUMIFS('כל ההוצאות'!$D:$D,'כל ההוצאות'!$B:$B,"Timeless",'כל ההוצאות'!$F:$F,"אפריל 2026")</f>
        <v>0</v>
      </c>
      <c r="U20" s="36" t="str">
        <f>IF(T20&gt;0,T20*הגדרות!$B$4,"")</f>
        <v/>
      </c>
      <c r="V20" s="32">
        <f t="shared" si="0"/>
        <v>29</v>
      </c>
      <c r="W20" s="33">
        <f>IF(V20&gt;0,V20*הגדרות!$B$4,"")</f>
        <v>105.85</v>
      </c>
    </row>
    <row r="21" spans="1:23" ht="24" customHeight="1" x14ac:dyDescent="0.25">
      <c r="A21" s="25" t="s">
        <v>159</v>
      </c>
      <c r="B21" s="16">
        <f t="shared" ref="B21:W21" si="1">SUM(B5:B20)</f>
        <v>240.23</v>
      </c>
      <c r="C21" s="17">
        <f t="shared" si="1"/>
        <v>876.83949999999993</v>
      </c>
      <c r="D21" s="16">
        <f t="shared" si="1"/>
        <v>93.740000000000009</v>
      </c>
      <c r="E21" s="17">
        <f t="shared" si="1"/>
        <v>342.15099999999995</v>
      </c>
      <c r="F21" s="16">
        <f t="shared" si="1"/>
        <v>38.380000000000003</v>
      </c>
      <c r="G21" s="17">
        <f t="shared" si="1"/>
        <v>140.08700000000002</v>
      </c>
      <c r="H21" s="16">
        <f t="shared" si="1"/>
        <v>25</v>
      </c>
      <c r="I21" s="17">
        <f t="shared" si="1"/>
        <v>91.25</v>
      </c>
      <c r="J21" s="16">
        <f t="shared" si="1"/>
        <v>73.8</v>
      </c>
      <c r="K21" s="17">
        <f t="shared" si="1"/>
        <v>269.37</v>
      </c>
      <c r="L21" s="16">
        <f t="shared" si="1"/>
        <v>20</v>
      </c>
      <c r="M21" s="17">
        <f t="shared" si="1"/>
        <v>73</v>
      </c>
      <c r="N21" s="16">
        <f t="shared" si="1"/>
        <v>214.42</v>
      </c>
      <c r="O21" s="17">
        <f t="shared" si="1"/>
        <v>782.63299999999992</v>
      </c>
      <c r="P21" s="16">
        <f t="shared" si="1"/>
        <v>156</v>
      </c>
      <c r="Q21" s="17">
        <f t="shared" si="1"/>
        <v>569.4</v>
      </c>
      <c r="R21" s="16">
        <f t="shared" si="1"/>
        <v>151.61000000000001</v>
      </c>
      <c r="S21" s="17">
        <f t="shared" si="1"/>
        <v>553.37649999999996</v>
      </c>
      <c r="T21" s="16">
        <f t="shared" si="1"/>
        <v>47.25</v>
      </c>
      <c r="U21" s="17">
        <f t="shared" si="1"/>
        <v>172.46250000000001</v>
      </c>
      <c r="V21" s="37">
        <f t="shared" si="1"/>
        <v>1060.43</v>
      </c>
      <c r="W21" s="38">
        <f t="shared" si="1"/>
        <v>3870.5694999999996</v>
      </c>
    </row>
  </sheetData>
  <mergeCells count="12">
    <mergeCell ref="A1:V1"/>
    <mergeCell ref="R3:S3"/>
    <mergeCell ref="D3:E3"/>
    <mergeCell ref="T3:U3"/>
    <mergeCell ref="H3:I3"/>
    <mergeCell ref="A2:V2"/>
    <mergeCell ref="F3:G3"/>
    <mergeCell ref="J3:K3"/>
    <mergeCell ref="L3:M3"/>
    <mergeCell ref="N3:O3"/>
    <mergeCell ref="P3:Q3"/>
    <mergeCell ref="B3:C3"/>
  </mergeCells>
  <hyperlinks>
    <hyperlink ref="B3" location="'יולי 2025'!A1" display="יולי 2025_x000a_(July 2025)" xr:uid="{00000000-0004-0000-0C00-000000000000}"/>
    <hyperlink ref="D3" location="'אוגוסט 2025'!A1" display="אוגוסט 2025_x000a_(August 2025)" xr:uid="{00000000-0004-0000-0C00-000001000000}"/>
    <hyperlink ref="F3" location="'ספטמבר 2025'!A1" display="ספטמבר 2025_x000a_(September 2025)" xr:uid="{00000000-0004-0000-0C00-000002000000}"/>
    <hyperlink ref="H3" location="'אוקטובר 2025'!A1" display="אוקטובר 2025_x000a_(October 2025)" xr:uid="{00000000-0004-0000-0C00-000003000000}"/>
    <hyperlink ref="J3" location="'נובמבר 2025'!A1" display="נובמבר 2025_x000a_(November 2025)" xr:uid="{00000000-0004-0000-0C00-000004000000}"/>
    <hyperlink ref="L3" location="'דצמבר 2025'!A1" display="דצמבר 2025_x000a_(December 2025)" xr:uid="{00000000-0004-0000-0C00-000005000000}"/>
    <hyperlink ref="N3" location="'ינואר 2026'!A1" display="ינואר 2026_x000a_(January 2026)" xr:uid="{00000000-0004-0000-0C00-000006000000}"/>
    <hyperlink ref="P3" location="'פברואר 2026'!A1" display="פברואר 2026_x000a_(February 2026)" xr:uid="{00000000-0004-0000-0C00-000007000000}"/>
    <hyperlink ref="R3" location="'מרץ 2026'!A1" display="מרץ 2026_x000a_(March 2026)" xr:uid="{00000000-0004-0000-0C00-000008000000}"/>
    <hyperlink ref="T3" location="'אפריל 2026'!A1" display="אפריל 2026_x000a_(April 2026)" xr:uid="{00000000-0004-0000-0C00-000009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7D31"/>
  </sheetPr>
  <dimension ref="A1:F16"/>
  <sheetViews>
    <sheetView rightToLeft="1" tabSelected="1" workbookViewId="0">
      <selection sqref="A1:F1"/>
    </sheetView>
  </sheetViews>
  <sheetFormatPr defaultRowHeight="13.8" x14ac:dyDescent="0.25"/>
  <cols>
    <col min="1" max="1" width="20" customWidth="1"/>
    <col min="2" max="2" width="18" customWidth="1"/>
    <col min="3" max="4" width="14" customWidth="1"/>
    <col min="5" max="5" width="12" customWidth="1"/>
    <col min="6" max="6" width="22" customWidth="1"/>
  </cols>
  <sheetData>
    <row r="1" spans="1:6" ht="34.950000000000003" customHeight="1" x14ac:dyDescent="0.25">
      <c r="A1" s="56" t="s">
        <v>0</v>
      </c>
      <c r="B1" s="53"/>
      <c r="C1" s="53"/>
      <c r="D1" s="53"/>
      <c r="E1" s="53"/>
      <c r="F1" s="53"/>
    </row>
    <row r="2" spans="1:6" ht="19.95" customHeight="1" x14ac:dyDescent="0.25">
      <c r="A2" s="52" t="s">
        <v>1</v>
      </c>
      <c r="B2" s="53"/>
      <c r="C2" s="53"/>
      <c r="D2" s="53"/>
      <c r="E2" s="53"/>
      <c r="F2" s="53"/>
    </row>
    <row r="3" spans="1:6" ht="22.05" customHeight="1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</row>
    <row r="4" spans="1:6" ht="19.95" customHeight="1" x14ac:dyDescent="0.25">
      <c r="A4" s="39" t="s">
        <v>8</v>
      </c>
      <c r="B4" s="11" t="s">
        <v>9</v>
      </c>
      <c r="C4" s="40">
        <f>SUMIF('כל ההוצאות'!$F:$F,"יולי 2025",'כל ההוצאות'!$D:$D)</f>
        <v>240.23000000000002</v>
      </c>
      <c r="D4" s="41">
        <f>C4*הגדרות!$B$4</f>
        <v>876.83950000000004</v>
      </c>
      <c r="E4" s="42">
        <f>IF(C15&gt;0,C4/C15,0)</f>
        <v>0.2265401770979697</v>
      </c>
      <c r="F4" s="19"/>
    </row>
    <row r="5" spans="1:6" ht="19.95" customHeight="1" x14ac:dyDescent="0.25">
      <c r="A5" s="43" t="s">
        <v>10</v>
      </c>
      <c r="B5" s="7" t="s">
        <v>11</v>
      </c>
      <c r="C5" s="44">
        <f>SUMIF('כל ההוצאות'!$F:$F,"אוגוסט 2025",'כל ההוצאות'!$D:$D)</f>
        <v>93.74</v>
      </c>
      <c r="D5" s="45">
        <f>C5*הגדרות!$B$4</f>
        <v>342.15099999999995</v>
      </c>
      <c r="E5" s="46">
        <f>IF(C15&gt;0,C5/C15,0)</f>
        <v>8.8398102656469538E-2</v>
      </c>
      <c r="F5" s="24"/>
    </row>
    <row r="6" spans="1:6" ht="19.95" customHeight="1" x14ac:dyDescent="0.25">
      <c r="A6" s="39" t="s">
        <v>12</v>
      </c>
      <c r="B6" s="11" t="s">
        <v>13</v>
      </c>
      <c r="C6" s="40">
        <f>SUMIF('כל ההוצאות'!$F:$F,"ספטמבר 2025",'כל ההוצאות'!$D:$D)</f>
        <v>38.379999999999995</v>
      </c>
      <c r="D6" s="41">
        <f>C6*הגדרות!$B$4</f>
        <v>140.08699999999999</v>
      </c>
      <c r="E6" s="42">
        <f>IF(C15&gt;0,C6/C15,0)</f>
        <v>3.619286515847344E-2</v>
      </c>
      <c r="F6" s="19"/>
    </row>
    <row r="7" spans="1:6" ht="19.95" customHeight="1" x14ac:dyDescent="0.25">
      <c r="A7" s="43" t="s">
        <v>14</v>
      </c>
      <c r="B7" s="7" t="s">
        <v>15</v>
      </c>
      <c r="C7" s="44">
        <f>SUMIF('כל ההוצאות'!$F:$F,"אוקטובר 2025",'כל ההוצאות'!$D:$D)</f>
        <v>25</v>
      </c>
      <c r="D7" s="45">
        <f>C7*הגדרות!$B$4</f>
        <v>91.25</v>
      </c>
      <c r="E7" s="46">
        <f>IF(C15&gt;0,C7/C15,0)</f>
        <v>2.3575342078213553E-2</v>
      </c>
      <c r="F7" s="24"/>
    </row>
    <row r="8" spans="1:6" ht="19.95" customHeight="1" x14ac:dyDescent="0.25">
      <c r="A8" s="39" t="s">
        <v>16</v>
      </c>
      <c r="B8" s="11" t="s">
        <v>17</v>
      </c>
      <c r="C8" s="40">
        <f>SUMIF('כל ההוצאות'!$F:$F,"נובמבר 2025",'כל ההוצאות'!$D:$D)</f>
        <v>73.8</v>
      </c>
      <c r="D8" s="41">
        <f>C8*הגדרות!$B$4</f>
        <v>269.37</v>
      </c>
      <c r="E8" s="42">
        <f>IF(C15&gt;0,C8/C15,0)</f>
        <v>6.9594409814886404E-2</v>
      </c>
      <c r="F8" s="19"/>
    </row>
    <row r="9" spans="1:6" ht="19.95" customHeight="1" x14ac:dyDescent="0.25">
      <c r="A9" s="43" t="s">
        <v>18</v>
      </c>
      <c r="B9" s="7" t="s">
        <v>19</v>
      </c>
      <c r="C9" s="44">
        <f>SUMIF('כל ההוצאות'!$F:$F,"דצמבר 2025",'כל ההוצאות'!$D:$D)</f>
        <v>20</v>
      </c>
      <c r="D9" s="45">
        <f>C9*הגדרות!$B$4</f>
        <v>73</v>
      </c>
      <c r="E9" s="46">
        <f>IF(C15&gt;0,C9/C15,0)</f>
        <v>1.8860273662570842E-2</v>
      </c>
      <c r="F9" s="24"/>
    </row>
    <row r="10" spans="1:6" ht="19.95" customHeight="1" x14ac:dyDescent="0.25">
      <c r="A10" s="39" t="s">
        <v>20</v>
      </c>
      <c r="B10" s="11" t="s">
        <v>21</v>
      </c>
      <c r="C10" s="40">
        <f>SUMIF('כל ההוצאות'!$F:$F,"ינואר 2026",'כל ההוצאות'!$D:$D)</f>
        <v>214.42</v>
      </c>
      <c r="D10" s="41">
        <f>C10*הגדרות!$B$4</f>
        <v>782.63299999999992</v>
      </c>
      <c r="E10" s="42">
        <f>IF(C15&gt;0,C10/C15,0)</f>
        <v>0.20220099393642199</v>
      </c>
      <c r="F10" s="19"/>
    </row>
    <row r="11" spans="1:6" ht="19.95" customHeight="1" x14ac:dyDescent="0.25">
      <c r="A11" s="43" t="s">
        <v>22</v>
      </c>
      <c r="B11" s="7" t="s">
        <v>23</v>
      </c>
      <c r="C11" s="44">
        <f>SUMIF('כל ההוצאות'!$F:$F,"פברואר 2026",'כל ההוצאות'!$D:$D)</f>
        <v>156</v>
      </c>
      <c r="D11" s="45">
        <f>C11*הגדרות!$B$4</f>
        <v>569.4</v>
      </c>
      <c r="E11" s="46">
        <f>IF(C15&gt;0,C11/C15,0)</f>
        <v>0.14711013456805258</v>
      </c>
      <c r="F11" s="24"/>
    </row>
    <row r="12" spans="1:6" ht="19.95" customHeight="1" x14ac:dyDescent="0.25">
      <c r="A12" s="39" t="s">
        <v>24</v>
      </c>
      <c r="B12" s="11" t="s">
        <v>25</v>
      </c>
      <c r="C12" s="40">
        <f>SUMIF('כל ההוצאות'!$F:$F,"מרץ 2026",'כל ההוצאות'!$D:$D)</f>
        <v>151.61000000000001</v>
      </c>
      <c r="D12" s="41">
        <f>C12*הגדרות!$B$4</f>
        <v>553.37650000000008</v>
      </c>
      <c r="E12" s="42">
        <f>IF(C15&gt;0,C12/C15,0)</f>
        <v>0.14297030449911829</v>
      </c>
      <c r="F12" s="19"/>
    </row>
    <row r="13" spans="1:6" ht="19.95" customHeight="1" x14ac:dyDescent="0.25">
      <c r="A13" s="43" t="s">
        <v>26</v>
      </c>
      <c r="B13" s="7" t="s">
        <v>27</v>
      </c>
      <c r="C13" s="44">
        <f>SUMIF('כל ההוצאות'!$F:$F,"אפריל 2026",'כל ההוצאות'!$D:$D)</f>
        <v>47.25</v>
      </c>
      <c r="D13" s="45">
        <f>C13*הגדרות!$B$4</f>
        <v>172.46250000000001</v>
      </c>
      <c r="E13" s="46">
        <f>IF(C15&gt;0,C13/C15,0)</f>
        <v>4.4557396527823617E-2</v>
      </c>
      <c r="F13" s="24"/>
    </row>
    <row r="14" spans="1:6" x14ac:dyDescent="0.25">
      <c r="A14" s="19"/>
      <c r="B14" s="19"/>
      <c r="C14" s="19"/>
      <c r="D14" s="19"/>
      <c r="E14" s="19"/>
      <c r="F14" s="19"/>
    </row>
    <row r="15" spans="1:6" ht="28.05" customHeight="1" x14ac:dyDescent="0.25">
      <c r="A15" s="57" t="s">
        <v>28</v>
      </c>
      <c r="B15" s="58"/>
      <c r="C15" s="47">
        <f>SUM(C4:C13)</f>
        <v>1060.43</v>
      </c>
      <c r="D15" s="48">
        <f>C15*הגדרות!$B$4</f>
        <v>3870.5695000000001</v>
      </c>
      <c r="E15" s="49" t="s">
        <v>29</v>
      </c>
      <c r="F15" s="26"/>
    </row>
    <row r="16" spans="1:6" x14ac:dyDescent="0.25">
      <c r="A16" s="54" t="s">
        <v>30</v>
      </c>
      <c r="B16" s="55"/>
      <c r="C16" s="50">
        <f>AVERAGE(C4:C13)</f>
        <v>106.04300000000001</v>
      </c>
      <c r="D16" s="51">
        <f>AVERAGE(D4:D13)</f>
        <v>387.05695000000003</v>
      </c>
      <c r="E16" s="19"/>
      <c r="F16" s="19"/>
    </row>
  </sheetData>
  <mergeCells count="4">
    <mergeCell ref="A2:F2"/>
    <mergeCell ref="A16:B16"/>
    <mergeCell ref="A1:F1"/>
    <mergeCell ref="A15:B15"/>
  </mergeCells>
  <hyperlinks>
    <hyperlink ref="A4" location="'יולי 2025'!A1" display="יולי 2025" xr:uid="{00000000-0004-0000-0D00-000000000000}"/>
    <hyperlink ref="A5" location="'אוגוסט 2025'!A1" display="אוגוסט 2025" xr:uid="{00000000-0004-0000-0D00-000001000000}"/>
    <hyperlink ref="A6" location="'ספטמבר 2025'!A1" display="ספטמבר 2025" xr:uid="{00000000-0004-0000-0D00-000002000000}"/>
    <hyperlink ref="A7" location="'אוקטובר 2025'!A1" display="אוקטובר 2025" xr:uid="{00000000-0004-0000-0D00-000003000000}"/>
    <hyperlink ref="A8" location="'נובמבר 2025'!A1" display="נובמבר 2025" xr:uid="{00000000-0004-0000-0D00-000004000000}"/>
    <hyperlink ref="A9" location="'דצמבר 2025'!A1" display="דצמבר 2025" xr:uid="{00000000-0004-0000-0D00-000005000000}"/>
    <hyperlink ref="A10" location="'ינואר 2026'!A1" display="ינואר 2026" xr:uid="{00000000-0004-0000-0D00-000006000000}"/>
    <hyperlink ref="A11" location="'פברואר 2026'!A1" display="פברואר 2026" xr:uid="{00000000-0004-0000-0D00-000007000000}"/>
    <hyperlink ref="A12" location="'מרץ 2026'!A1" display="מרץ 2026" xr:uid="{00000000-0004-0000-0D00-000008000000}"/>
    <hyperlink ref="A13" location="'אפריל 2026'!A1" display="אפריל 2026" xr:uid="{00000000-0004-0000-0D00-000009000000}"/>
  </hyperlink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14</vt:i4>
      </vt:variant>
    </vt:vector>
  </HeadingPairs>
  <TitlesOfParts>
    <vt:vector size="14" baseType="lpstr">
      <vt:lpstr>הגדרות</vt:lpstr>
      <vt:lpstr>כל ההוצאות</vt:lpstr>
      <vt:lpstr>יולי 2025</vt:lpstr>
      <vt:lpstr>אוגוסט 2025</vt:lpstr>
      <vt:lpstr>ספטמבר 2025</vt:lpstr>
      <vt:lpstr>אוקטובר 2025</vt:lpstr>
      <vt:lpstr>נובמבר 2025</vt:lpstr>
      <vt:lpstr>דצמבר 2025</vt:lpstr>
      <vt:lpstr>ינואר 2026</vt:lpstr>
      <vt:lpstr>פברואר 2026</vt:lpstr>
      <vt:lpstr>מרץ 2026</vt:lpstr>
      <vt:lpstr>אפריל 2026</vt:lpstr>
      <vt:lpstr>סיכום חודשי</vt:lpstr>
      <vt:lpstr>דוח שנתי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רועי טל</cp:lastModifiedBy>
  <dcterms:created xsi:type="dcterms:W3CDTF">2026-04-07T07:04:25Z</dcterms:created>
  <dcterms:modified xsi:type="dcterms:W3CDTF">2026-04-07T07:04:42Z</dcterms:modified>
</cp:coreProperties>
</file>