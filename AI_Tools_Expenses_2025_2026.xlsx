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3.057</v>
      </c>
      <c r="C4" s="5" t="inlineStr">
        <is>
          <t>← מקור: Bank of Israel Public API | עודכן: 2026-04-10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0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</v>
      </c>
      <c r="E3" s="13" t="n">
        <v>3.06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72</v>
      </c>
      <c r="E4" s="17" t="n">
        <v>220.1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10.59</v>
      </c>
      <c r="E5" s="13" t="n">
        <v>32.37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20</v>
      </c>
      <c r="E6" s="17" t="n">
        <v>61.14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61.14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13.5</v>
      </c>
      <c r="E8" s="17" t="n">
        <v>41.27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113.14</v>
      </c>
      <c r="E9" s="13" t="n">
        <v>345.87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10</v>
      </c>
      <c r="E10" s="17" t="n">
        <v>30.57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15.6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15</v>
      </c>
      <c r="E12" s="17" t="n">
        <v>45.85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12</v>
      </c>
      <c r="E13" s="13" t="n">
        <v>36.68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0.9</v>
      </c>
      <c r="E14" s="17" t="n">
        <v>2.75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19</v>
      </c>
      <c r="E15" s="13" t="n">
        <v>58.08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10.59</v>
      </c>
      <c r="E16" s="17" t="n">
        <v>32.37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20</v>
      </c>
      <c r="E17" s="13" t="n">
        <v>61.14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61.14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</v>
      </c>
      <c r="E19" s="13" t="n">
        <v>15.29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11.25</v>
      </c>
      <c r="E20" s="17" t="n">
        <v>34.39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15.6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2.79</v>
      </c>
      <c r="E22" s="17" t="n">
        <v>8.529999999999999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10.59</v>
      </c>
      <c r="E23" s="13" t="n">
        <v>32.37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61.14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20</v>
      </c>
      <c r="E25" s="13" t="n">
        <v>61.14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</v>
      </c>
      <c r="E26" s="17" t="n">
        <v>15.29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15.6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61.14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20</v>
      </c>
      <c r="E29" s="13" t="n">
        <v>61.14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</v>
      </c>
      <c r="E30" s="17" t="n">
        <v>15.29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12</v>
      </c>
      <c r="E31" s="13" t="n">
        <v>36.68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11.8</v>
      </c>
      <c r="E32" s="17" t="n">
        <v>36.07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15</v>
      </c>
      <c r="E33" s="13" t="n">
        <v>45.85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</v>
      </c>
      <c r="E34" s="17" t="n">
        <v>30.57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61.14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20</v>
      </c>
      <c r="E36" s="17" t="n">
        <v>61.14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</v>
      </c>
      <c r="E37" s="13" t="n">
        <v>15.29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20.79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15</v>
      </c>
      <c r="E39" s="13" t="n">
        <v>45.85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9.720000000000001</v>
      </c>
      <c r="E40" s="17" t="n">
        <v>29.71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30</v>
      </c>
      <c r="E41" s="13" t="n">
        <v>91.70999999999999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33</v>
      </c>
      <c r="E42" s="17" t="n">
        <v>100.88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61.14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36</v>
      </c>
      <c r="E44" s="17" t="n">
        <v>110.05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</v>
      </c>
      <c r="E45" s="13" t="n">
        <v>15.29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20.79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139.92</v>
      </c>
      <c r="E47" s="13" t="n">
        <v>427.74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</v>
      </c>
      <c r="E48" s="17" t="n">
        <v>45.85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19.43</v>
      </c>
      <c r="E49" s="13" t="n">
        <v>59.4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20</v>
      </c>
      <c r="E50" s="17" t="n">
        <v>61.14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20</v>
      </c>
      <c r="E51" s="13" t="n">
        <v>61.14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13.67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61.14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39</v>
      </c>
      <c r="E54" s="17" t="n">
        <v>119.22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25</v>
      </c>
      <c r="E55" s="13" t="n">
        <v>76.42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43</v>
      </c>
      <c r="E56" s="17" t="n">
        <v>131.45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</v>
      </c>
      <c r="E57" s="13" t="n">
        <v>15.29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14.5</v>
      </c>
      <c r="E58" s="17" t="n">
        <v>44.33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</v>
      </c>
      <c r="E59" s="13" t="n">
        <v>76.42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20.79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31.42</v>
      </c>
      <c r="E61" s="13" t="n">
        <v>96.05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13.67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47</v>
      </c>
      <c r="E63" s="13" t="n">
        <v>143.68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</v>
      </c>
      <c r="E64" s="17" t="n">
        <v>61.14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</v>
      </c>
      <c r="E65" s="13" t="n">
        <v>15.29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61.14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</v>
      </c>
      <c r="E67" s="13" t="n">
        <v>61.14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50</v>
      </c>
      <c r="E68" s="17" t="n">
        <v>152.85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51</v>
      </c>
      <c r="E69" s="13" t="n">
        <v>155.91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</v>
      </c>
      <c r="E70" s="17" t="n">
        <v>15.29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</v>
      </c>
      <c r="E71" s="13" t="n">
        <v>30.57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Lovable</t>
        </is>
      </c>
      <c r="C72" s="15" t="inlineStr">
        <is>
          <t>Cloud &amp; AI Balance Top-up</t>
        </is>
      </c>
      <c r="D72" s="16" t="n">
        <v>10</v>
      </c>
      <c r="E72" s="17" t="n">
        <v>30.57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Timeless</t>
        </is>
      </c>
      <c r="C73" s="11" t="inlineStr">
        <is>
          <t>Pro monthly (50% off)</t>
        </is>
      </c>
      <c r="D73" s="12" t="n">
        <v>14.5</v>
      </c>
      <c r="E73" s="13" t="n">
        <v>44.33</v>
      </c>
      <c r="F73" s="10" t="inlineStr">
        <is>
          <t>מרץ 2026</t>
        </is>
      </c>
    </row>
    <row r="74">
      <c r="A74" s="14" t="inlineStr">
        <is>
          <t>2026-03-02</t>
        </is>
      </c>
      <c r="B74" s="15" t="inlineStr">
        <is>
          <t>Google Workspace</t>
        </is>
      </c>
      <c r="C74" s="15" t="inlineStr">
        <is>
          <t>Business Plus – Feb 2026 (₪75.90)</t>
        </is>
      </c>
      <c r="D74" s="16" t="n">
        <v>20.79</v>
      </c>
      <c r="E74" s="17" t="n">
        <v>75.90000000000001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Lovable</t>
        </is>
      </c>
      <c r="C75" s="11" t="inlineStr">
        <is>
          <t>Cloud &amp; AI Balance Top-up</t>
        </is>
      </c>
      <c r="D75" s="12" t="n">
        <v>10</v>
      </c>
      <c r="E75" s="13" t="n">
        <v>30.57</v>
      </c>
      <c r="F75" s="10" t="inlineStr">
        <is>
          <t>מרץ 2026</t>
        </is>
      </c>
    </row>
    <row r="76">
      <c r="A76" s="14" t="inlineStr">
        <is>
          <t>2026-03-03</t>
        </is>
      </c>
      <c r="B76" s="15" t="inlineStr">
        <is>
          <t>Meta (Ads)</t>
        </is>
      </c>
      <c r="C76" s="15" t="inlineStr">
        <is>
          <t>Facebook Ads</t>
        </is>
      </c>
      <c r="D76" s="16" t="n">
        <v>40.11</v>
      </c>
      <c r="E76" s="17" t="n">
        <v>122.62</v>
      </c>
      <c r="F76" s="14" t="inlineStr">
        <is>
          <t>מרץ 2026</t>
        </is>
      </c>
    </row>
    <row r="77">
      <c r="A77" s="10" t="inlineStr">
        <is>
          <t>2026-03-10</t>
        </is>
      </c>
      <c r="B77" s="11" t="inlineStr">
        <is>
          <t>CapCut</t>
        </is>
      </c>
      <c r="C77" s="11" t="inlineStr">
        <is>
          <t>Pro – Mar 2026 (₪49.90)</t>
        </is>
      </c>
      <c r="D77" s="12" t="n">
        <v>13.67</v>
      </c>
      <c r="E77" s="13" t="n">
        <v>49.9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capcut_pro_discount1</t>
        </is>
      </c>
      <c r="D78" s="16" t="n">
        <v>16.323193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51</v>
      </c>
      <c r="E79" s="13" t="n">
        <v>155.91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</v>
      </c>
      <c r="E80" s="17" t="n">
        <v>61.14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61.14</v>
      </c>
      <c r="F81" s="10" t="inlineStr">
        <is>
          <t>מרץ 2026</t>
        </is>
      </c>
    </row>
    <row r="82">
      <c r="A82" s="14" t="inlineStr">
        <is>
          <t>2026-03-19</t>
        </is>
      </c>
      <c r="B82" s="15" t="inlineStr">
        <is>
          <t>Anthropic</t>
        </is>
      </c>
      <c r="C82" s="15" t="inlineStr">
        <is>
          <t>Credit purchase</t>
        </is>
      </c>
      <c r="D82" s="16" t="n">
        <v>10</v>
      </c>
      <c r="E82" s="17" t="n">
        <v>30.57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Eleven Labs</t>
        </is>
      </c>
      <c r="C83" s="11" t="inlineStr">
        <is>
          <t>Creator (first month 50% off)</t>
        </is>
      </c>
      <c r="D83" s="12" t="n">
        <v>11</v>
      </c>
      <c r="E83" s="13" t="n">
        <v>33.63</v>
      </c>
      <c r="F83" s="10" t="inlineStr">
        <is>
          <t>מרץ 2026</t>
        </is>
      </c>
    </row>
    <row r="84">
      <c r="A84" s="14" t="inlineStr">
        <is>
          <t>2026-03-24</t>
        </is>
      </c>
      <c r="B84" s="15" t="inlineStr">
        <is>
          <t>Dzine</t>
        </is>
      </c>
      <c r="C84" s="15" t="inlineStr">
        <is>
          <t>Video Top-Up</t>
        </is>
      </c>
      <c r="D84" s="16" t="n">
        <v>9</v>
      </c>
      <c r="E84" s="17" t="n">
        <v>27.51</v>
      </c>
      <c r="F84" s="14" t="inlineStr">
        <is>
          <t>מרץ 2026</t>
        </is>
      </c>
    </row>
    <row r="85">
      <c r="A85" s="10" t="inlineStr">
        <is>
          <t>2026-03-25</t>
        </is>
      </c>
      <c r="B85" s="11" t="inlineStr">
        <is>
          <t>Lovable</t>
        </is>
      </c>
      <c r="C85" s="11" t="inlineStr">
        <is>
          <t>Lite plan</t>
        </is>
      </c>
      <c r="D85" s="12" t="n">
        <v>5</v>
      </c>
      <c r="E85" s="13" t="n">
        <v>15.29</v>
      </c>
      <c r="F85" s="10" t="inlineStr">
        <is>
          <t>מרץ 2026</t>
        </is>
      </c>
    </row>
    <row r="86">
      <c r="A86" s="14" t="inlineStr">
        <is>
          <t>2026-03-26</t>
        </is>
      </c>
      <c r="B86" s="15" t="inlineStr">
        <is>
          <t>Dzine</t>
        </is>
      </c>
      <c r="C86" s="15" t="inlineStr">
        <is>
          <t>Video Top-Up</t>
        </is>
      </c>
      <c r="D86" s="16" t="n">
        <v>20</v>
      </c>
      <c r="E86" s="17" t="n">
        <v>61.14</v>
      </c>
      <c r="F86" s="14" t="inlineStr">
        <is>
          <t>מרץ 2026</t>
        </is>
      </c>
    </row>
    <row r="87">
      <c r="A87" s="10" t="inlineStr">
        <is>
          <t>2026-04-01</t>
        </is>
      </c>
      <c r="B87" s="11" t="inlineStr">
        <is>
          <t>Anthropic</t>
        </is>
      </c>
      <c r="C87" s="11" t="inlineStr">
        <is>
          <t>Claude Pro</t>
        </is>
      </c>
      <c r="D87" s="12" t="n">
        <v>20</v>
      </c>
      <c r="E87" s="13" t="n">
        <v>61.14</v>
      </c>
      <c r="F87" s="10" t="inlineStr">
        <is>
          <t>אפריל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Credit purchase</t>
        </is>
      </c>
      <c r="D88" s="16" t="n">
        <v>5</v>
      </c>
      <c r="E88" s="17" t="n">
        <v>15.29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20.79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51</v>
      </c>
      <c r="E90" s="17" t="n">
        <v>155.91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55.03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2.25</v>
      </c>
      <c r="E92" s="17" t="n">
        <v>6.88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</v>
      </c>
      <c r="E93" s="13" t="n">
        <v>61.14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16.323193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2026-04-16</t>
        </is>
      </c>
      <c r="B95" s="11" t="inlineStr">
        <is>
          <t>OpenAI</t>
        </is>
      </c>
      <c r="C95" s="11" t="inlineStr">
        <is>
          <t>ChatGPT Plus</t>
        </is>
      </c>
      <c r="D95" s="12" t="n">
        <v>20</v>
      </c>
      <c r="E95" s="13" t="n">
        <v>61.14</v>
      </c>
      <c r="F95" s="10" t="inlineStr">
        <is>
          <t>אפריל 2026</t>
        </is>
      </c>
    </row>
    <row r="96">
      <c r="A96" s="14" t="inlineStr">
        <is>
          <t>2026-05-16</t>
        </is>
      </c>
      <c r="B96" s="15" t="inlineStr">
        <is>
          <t>OpenAI</t>
        </is>
      </c>
      <c r="C96" s="15" t="inlineStr">
        <is>
          <t>ChatGPT Plus</t>
        </is>
      </c>
      <c r="D96" s="16" t="n">
        <v>20</v>
      </c>
      <c r="E96" s="17" t="n">
        <v>61.14</v>
      </c>
      <c r="F96" s="14" t="inlineStr">
        <is>
          <t>מאי 2026</t>
        </is>
      </c>
    </row>
    <row r="97">
      <c r="A97" s="10" t="inlineStr">
        <is>
          <t>2026-06-16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61.14</v>
      </c>
      <c r="F97" s="10" t="inlineStr">
        <is>
          <t>יוני 2026</t>
        </is>
      </c>
    </row>
    <row r="98">
      <c r="A98" s="14" t="inlineStr">
        <is>
          <t>2026-07-16</t>
        </is>
      </c>
      <c r="B98" s="15" t="inlineStr">
        <is>
          <t>OpenAI</t>
        </is>
      </c>
      <c r="C98" s="15" t="inlineStr">
        <is>
          <t>ChatGPT Plus</t>
        </is>
      </c>
      <c r="D98" s="16" t="n">
        <v>20</v>
      </c>
      <c r="E98" s="17" t="n">
        <v>61.14</v>
      </c>
      <c r="F98" s="14" t="inlineStr">
        <is>
          <t>יולי 2026</t>
        </is>
      </c>
    </row>
    <row r="99">
      <c r="A99" s="10" t="inlineStr">
        <is>
          <t>2026-08-16</t>
        </is>
      </c>
      <c r="B99" s="11" t="inlineStr">
        <is>
          <t>OpenAI</t>
        </is>
      </c>
      <c r="C99" s="11" t="inlineStr">
        <is>
          <t>ChatGPT Plus</t>
        </is>
      </c>
      <c r="D99" s="12" t="n">
        <v>20</v>
      </c>
      <c r="E99" s="13" t="n">
        <v>61.14</v>
      </c>
      <c r="F99" s="10" t="inlineStr">
        <is>
          <t>אוגוסט 2026</t>
        </is>
      </c>
    </row>
    <row r="100">
      <c r="A100" s="14" t="inlineStr">
        <is>
          <t>2026-09-16</t>
        </is>
      </c>
      <c r="B100" s="15" t="inlineStr">
        <is>
          <t>OpenAI</t>
        </is>
      </c>
      <c r="C100" s="15" t="inlineStr">
        <is>
          <t>ChatGPT Plus</t>
        </is>
      </c>
      <c r="D100" s="16" t="n">
        <v>20</v>
      </c>
      <c r="E100" s="17" t="n">
        <v>61.14</v>
      </c>
      <c r="F100" s="14" t="inlineStr">
        <is>
          <t>ספטמבר 2026</t>
        </is>
      </c>
    </row>
    <row r="101">
      <c r="A101" s="10" t="inlineStr">
        <is>
          <t>2026-10-16</t>
        </is>
      </c>
      <c r="B101" s="11" t="inlineStr">
        <is>
          <t>OpenAI</t>
        </is>
      </c>
      <c r="C101" s="11" t="inlineStr">
        <is>
          <t>ChatGPT Plus</t>
        </is>
      </c>
      <c r="D101" s="12" t="n">
        <v>20</v>
      </c>
      <c r="E101" s="13" t="n">
        <v>61.14</v>
      </c>
      <c r="F101" s="10" t="inlineStr">
        <is>
          <t>אוקטובר 2026</t>
        </is>
      </c>
    </row>
    <row r="102">
      <c r="A102" s="14" t="inlineStr">
        <is>
          <t>2026-11-16</t>
        </is>
      </c>
      <c r="B102" s="15" t="inlineStr">
        <is>
          <t>OpenAI</t>
        </is>
      </c>
      <c r="C102" s="15" t="inlineStr">
        <is>
          <t>ChatGPT Plus</t>
        </is>
      </c>
      <c r="D102" s="16" t="n">
        <v>20</v>
      </c>
      <c r="E102" s="17" t="n">
        <v>61.14</v>
      </c>
      <c r="F102" s="14" t="inlineStr">
        <is>
          <t>נובמבר 2026</t>
        </is>
      </c>
    </row>
    <row r="103">
      <c r="A103" s="10" t="inlineStr">
        <is>
          <t>2026-12-16</t>
        </is>
      </c>
      <c r="B103" s="11" t="inlineStr">
        <is>
          <t>OpenAI</t>
        </is>
      </c>
      <c r="C103" s="11" t="inlineStr">
        <is>
          <t>ChatGPT Plus</t>
        </is>
      </c>
      <c r="D103" s="12" t="n">
        <v>20</v>
      </c>
      <c r="E103" s="13" t="n">
        <v>61.14</v>
      </c>
      <c r="F103" s="10" t="inlineStr">
        <is>
          <t>דצמבר 2026</t>
        </is>
      </c>
    </row>
    <row r="104">
      <c r="A104" s="18" t="inlineStr">
        <is>
          <t>סה"כ"</t>
        </is>
      </c>
      <c r="B104" s="19" t="n"/>
      <c r="C104" s="19" t="n"/>
      <c r="D104" s="20">
        <f>SUM(D3:D103)</f>
        <v/>
      </c>
      <c r="E104" s="21">
        <f>SUM(E3:E103)</f>
        <v/>
      </c>
      <c r="F104" s="19" t="n"/>
    </row>
  </sheetData>
  <mergeCells count="2">
    <mergeCell ref="A1:F1"/>
    <mergeCell ref="A104:C10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</v>
      </c>
      <c r="E4" s="26" t="n">
        <v>3.06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72</v>
      </c>
      <c r="E5" s="28" t="n">
        <v>220.1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10.59</v>
      </c>
      <c r="E6" s="26" t="n">
        <v>32.37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20</v>
      </c>
      <c r="E7" s="28" t="n">
        <v>61.14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61.14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13.5</v>
      </c>
      <c r="E9" s="28" t="n">
        <v>41.27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113.14</v>
      </c>
      <c r="E10" s="26" t="n">
        <v>345.87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10</v>
      </c>
      <c r="E11" s="28" t="n">
        <v>30.57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15.6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15</v>
      </c>
      <c r="E5" s="28" t="n">
        <v>45.85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12</v>
      </c>
      <c r="E6" s="26" t="n">
        <v>36.68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0.9</v>
      </c>
      <c r="E7" s="28" t="n">
        <v>2.75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19</v>
      </c>
      <c r="E8" s="26" t="n">
        <v>58.08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10.59</v>
      </c>
      <c r="E9" s="28" t="n">
        <v>32.37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20</v>
      </c>
      <c r="E10" s="26" t="n">
        <v>61.14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61.14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</v>
      </c>
      <c r="E12" s="26" t="n">
        <v>15.29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11.25</v>
      </c>
      <c r="E13" s="28" t="n">
        <v>34.39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15.6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2.79</v>
      </c>
      <c r="E5" s="28" t="n">
        <v>8.529999999999999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10.59</v>
      </c>
      <c r="E6" s="26" t="n">
        <v>32.37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61.14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20</v>
      </c>
      <c r="E8" s="26" t="n">
        <v>61.14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</v>
      </c>
      <c r="E9" s="28" t="n">
        <v>15.29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15.6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61.14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20</v>
      </c>
      <c r="E6" s="26" t="n">
        <v>61.14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</v>
      </c>
      <c r="E7" s="28" t="n">
        <v>15.29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12</v>
      </c>
      <c r="E4" s="26" t="n">
        <v>36.68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11.8</v>
      </c>
      <c r="E5" s="28" t="n">
        <v>36.07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15</v>
      </c>
      <c r="E6" s="26" t="n">
        <v>45.85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</v>
      </c>
      <c r="E7" s="28" t="n">
        <v>30.57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61.14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</v>
      </c>
      <c r="E9" s="28" t="n">
        <v>61.14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</v>
      </c>
      <c r="E10" s="26" t="n">
        <v>15.29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20.79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15</v>
      </c>
      <c r="E5" s="28" t="n">
        <v>45.85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9.720000000000001</v>
      </c>
      <c r="E6" s="26" t="n">
        <v>29.71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30</v>
      </c>
      <c r="E7" s="28" t="n">
        <v>91.70999999999999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33</v>
      </c>
      <c r="E8" s="26" t="n">
        <v>100.88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61.14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36</v>
      </c>
      <c r="E10" s="26" t="n">
        <v>110.05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</v>
      </c>
      <c r="E11" s="28" t="n">
        <v>15.29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20.79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139.92</v>
      </c>
      <c r="E5" s="28" t="n">
        <v>427.74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</v>
      </c>
      <c r="E6" s="26" t="n">
        <v>45.85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19.43</v>
      </c>
      <c r="E7" s="28" t="n">
        <v>59.4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20</v>
      </c>
      <c r="E8" s="26" t="n">
        <v>61.14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20</v>
      </c>
      <c r="E9" s="28" t="n">
        <v>61.14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13.67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61.14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39</v>
      </c>
      <c r="E12" s="26" t="n">
        <v>119.22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25</v>
      </c>
      <c r="E13" s="28" t="n">
        <v>76.42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43</v>
      </c>
      <c r="E14" s="26" t="n">
        <v>131.45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</v>
      </c>
      <c r="E15" s="28" t="n">
        <v>15.29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14.5</v>
      </c>
      <c r="E16" s="26" t="n">
        <v>44.33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</v>
      </c>
      <c r="E4" s="26" t="n">
        <v>76.42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20.79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31.42</v>
      </c>
      <c r="E6" s="26" t="n">
        <v>96.05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13.67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47</v>
      </c>
      <c r="E8" s="26" t="n">
        <v>143.68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</v>
      </c>
      <c r="E9" s="28" t="n">
        <v>61.14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</v>
      </c>
      <c r="E10" s="26" t="n">
        <v>15.29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61.14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</v>
      </c>
      <c r="E12" s="26" t="n">
        <v>61.14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50</v>
      </c>
      <c r="E13" s="28" t="n">
        <v>152.85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51</v>
      </c>
      <c r="E14" s="26" t="n">
        <v>155.91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</v>
      </c>
      <c r="E15" s="28" t="n">
        <v>15.29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</v>
      </c>
      <c r="E16" s="26" t="n">
        <v>30.57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Lovable</t>
        </is>
      </c>
      <c r="C4" s="15" t="inlineStr">
        <is>
          <t>Cloud &amp; AI Balance Top-up</t>
        </is>
      </c>
      <c r="D4" s="25" t="n">
        <v>10</v>
      </c>
      <c r="E4" s="26" t="n">
        <v>30.57</v>
      </c>
      <c r="F4" s="24" t="n"/>
    </row>
    <row r="5">
      <c r="A5" s="10" t="inlineStr">
        <is>
          <t>2026-03-01</t>
        </is>
      </c>
      <c r="B5" s="11" t="inlineStr">
        <is>
          <t>Timeless</t>
        </is>
      </c>
      <c r="C5" s="11" t="inlineStr">
        <is>
          <t>Pro monthly (50% off)</t>
        </is>
      </c>
      <c r="D5" s="27" t="n">
        <v>14.5</v>
      </c>
      <c r="E5" s="28" t="n">
        <v>44.33</v>
      </c>
      <c r="F5" s="29" t="n"/>
    </row>
    <row r="6">
      <c r="A6" s="14" t="inlineStr">
        <is>
          <t>2026-03-02</t>
        </is>
      </c>
      <c r="B6" s="15" t="inlineStr">
        <is>
          <t>Google Workspace</t>
        </is>
      </c>
      <c r="C6" s="15" t="inlineStr">
        <is>
          <t>Business Plus – Feb 2026 (₪75.90)</t>
        </is>
      </c>
      <c r="D6" s="25" t="n">
        <v>20.79</v>
      </c>
      <c r="E6" s="26" t="n">
        <v>75.90000000000001</v>
      </c>
      <c r="F6" s="24" t="n"/>
    </row>
    <row r="7">
      <c r="A7" s="10" t="inlineStr">
        <is>
          <t>2026-03-02</t>
        </is>
      </c>
      <c r="B7" s="11" t="inlineStr">
        <is>
          <t>Lovable</t>
        </is>
      </c>
      <c r="C7" s="11" t="inlineStr">
        <is>
          <t>Cloud &amp; AI Balance Top-up</t>
        </is>
      </c>
      <c r="D7" s="27" t="n">
        <v>10</v>
      </c>
      <c r="E7" s="28" t="n">
        <v>30.57</v>
      </c>
      <c r="F7" s="29" t="n"/>
    </row>
    <row r="8">
      <c r="A8" s="14" t="inlineStr">
        <is>
          <t>2026-03-03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40.11</v>
      </c>
      <c r="E8" s="26" t="n">
        <v>122.62</v>
      </c>
      <c r="F8" s="24" t="n"/>
    </row>
    <row r="9">
      <c r="A9" s="10" t="inlineStr">
        <is>
          <t>2026-03-10</t>
        </is>
      </c>
      <c r="B9" s="11" t="inlineStr">
        <is>
          <t>CapCut</t>
        </is>
      </c>
      <c r="C9" s="11" t="inlineStr">
        <is>
          <t>Pro – Mar 2026 (₪49.90)</t>
        </is>
      </c>
      <c r="D9" s="27" t="n">
        <v>13.67</v>
      </c>
      <c r="E9" s="28" t="n">
        <v>49.9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16.323193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51</v>
      </c>
      <c r="E11" s="28" t="n">
        <v>155.91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</v>
      </c>
      <c r="E12" s="26" t="n">
        <v>61.14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61.14</v>
      </c>
      <c r="F13" s="29" t="n"/>
    </row>
    <row r="14">
      <c r="A14" s="14" t="inlineStr">
        <is>
          <t>2026-03-19</t>
        </is>
      </c>
      <c r="B14" s="15" t="inlineStr">
        <is>
          <t>Anthropic</t>
        </is>
      </c>
      <c r="C14" s="15" t="inlineStr">
        <is>
          <t>Credit purchase</t>
        </is>
      </c>
      <c r="D14" s="25" t="n">
        <v>10</v>
      </c>
      <c r="E14" s="26" t="n">
        <v>30.57</v>
      </c>
      <c r="F14" s="24" t="n"/>
    </row>
    <row r="15">
      <c r="A15" s="10" t="inlineStr">
        <is>
          <t>2026-03-19</t>
        </is>
      </c>
      <c r="B15" s="11" t="inlineStr">
        <is>
          <t>Eleven Labs</t>
        </is>
      </c>
      <c r="C15" s="11" t="inlineStr">
        <is>
          <t>Creator (first month 50% off)</t>
        </is>
      </c>
      <c r="D15" s="27" t="n">
        <v>11</v>
      </c>
      <c r="E15" s="28" t="n">
        <v>33.63</v>
      </c>
      <c r="F15" s="29" t="n"/>
    </row>
    <row r="16">
      <c r="A16" s="14" t="inlineStr">
        <is>
          <t>2026-03-24</t>
        </is>
      </c>
      <c r="B16" s="15" t="inlineStr">
        <is>
          <t>Dzine</t>
        </is>
      </c>
      <c r="C16" s="15" t="inlineStr">
        <is>
          <t>Video Top-Up</t>
        </is>
      </c>
      <c r="D16" s="25" t="n">
        <v>9</v>
      </c>
      <c r="E16" s="26" t="n">
        <v>27.51</v>
      </c>
      <c r="F16" s="24" t="n"/>
    </row>
    <row r="17">
      <c r="A17" s="10" t="inlineStr">
        <is>
          <t>2026-03-25</t>
        </is>
      </c>
      <c r="B17" s="11" t="inlineStr">
        <is>
          <t>Lovable</t>
        </is>
      </c>
      <c r="C17" s="11" t="inlineStr">
        <is>
          <t>Lite plan</t>
        </is>
      </c>
      <c r="D17" s="27" t="n">
        <v>5</v>
      </c>
      <c r="E17" s="28" t="n">
        <v>15.29</v>
      </c>
      <c r="F17" s="29" t="n"/>
    </row>
    <row r="18">
      <c r="A18" s="14" t="inlineStr">
        <is>
          <t>2026-03-26</t>
        </is>
      </c>
      <c r="B18" s="15" t="inlineStr">
        <is>
          <t>Dzine</t>
        </is>
      </c>
      <c r="C18" s="15" t="inlineStr">
        <is>
          <t>Video Top-Up</t>
        </is>
      </c>
      <c r="D18" s="25" t="n">
        <v>20</v>
      </c>
      <c r="E18" s="26" t="n">
        <v>61.14</v>
      </c>
      <c r="F18" s="24" t="n"/>
    </row>
    <row r="19" ht="24" customHeight="1">
      <c r="A19" s="30" t="inlineStr">
        <is>
          <t>סה"כ חודש"</t>
        </is>
      </c>
      <c r="B19" s="31" t="n"/>
      <c r="C19" s="31" t="n"/>
      <c r="D19" s="20">
        <f>SUM(D4:D18)</f>
        <v/>
      </c>
      <c r="E19" s="21">
        <f>SUM(E4:E18)</f>
        <v/>
      </c>
      <c r="F19" s="31" t="n"/>
    </row>
  </sheetData>
  <mergeCells count="2">
    <mergeCell ref="A19:C1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1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Claude Pro</t>
        </is>
      </c>
      <c r="D4" s="25" t="n">
        <v>20</v>
      </c>
      <c r="E4" s="26" t="n">
        <v>61.14</v>
      </c>
      <c r="F4" s="24" t="n"/>
    </row>
    <row r="5">
      <c r="A5" s="10" t="inlineStr">
        <is>
          <t>2026-04-01</t>
        </is>
      </c>
      <c r="B5" s="11" t="inlineStr">
        <is>
          <t>Anthropic</t>
        </is>
      </c>
      <c r="C5" s="11" t="inlineStr">
        <is>
          <t>Credit purchase</t>
        </is>
      </c>
      <c r="D5" s="27" t="n">
        <v>5</v>
      </c>
      <c r="E5" s="28" t="n">
        <v>15.29</v>
      </c>
      <c r="F5" s="29" t="n"/>
    </row>
    <row r="6">
      <c r="A6" s="14" t="inlineStr">
        <is>
          <t>2026-04-01</t>
        </is>
      </c>
      <c r="B6" s="15" t="inlineStr">
        <is>
          <t>Google Workspace</t>
        </is>
      </c>
      <c r="C6" s="15" t="inlineStr">
        <is>
          <t>Business Plus – Mar 2026 (₪75.90)</t>
        </is>
      </c>
      <c r="D6" s="25" t="n">
        <v>20.79</v>
      </c>
      <c r="E6" s="26" t="n">
        <v>75.90000000000001</v>
      </c>
      <c r="F6" s="24" t="n"/>
    </row>
    <row r="7">
      <c r="A7" s="10" t="inlineStr">
        <is>
          <t>2026-04-01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51</v>
      </c>
      <c r="E7" s="28" t="n">
        <v>155.91</v>
      </c>
      <c r="F7" s="29" t="n"/>
    </row>
    <row r="8">
      <c r="A8" s="14" t="inlineStr">
        <is>
          <t>2026-04-02</t>
        </is>
      </c>
      <c r="B8" s="15" t="inlineStr">
        <is>
          <t>Dzine</t>
        </is>
      </c>
      <c r="C8" s="15" t="inlineStr">
        <is>
          <t>Video Top-Up</t>
        </is>
      </c>
      <c r="D8" s="25" t="n">
        <v>18</v>
      </c>
      <c r="E8" s="26" t="n">
        <v>55.03</v>
      </c>
      <c r="F8" s="24" t="n"/>
    </row>
    <row r="9">
      <c r="A9" s="10" t="inlineStr">
        <is>
          <t>2026-04-03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2.25</v>
      </c>
      <c r="E9" s="28" t="n">
        <v>6.88</v>
      </c>
      <c r="F9" s="29" t="n"/>
    </row>
    <row r="10">
      <c r="A10" s="14" t="inlineStr">
        <is>
          <t>2026-04-05</t>
        </is>
      </c>
      <c r="B10" s="15" t="inlineStr">
        <is>
          <t>IONOS</t>
        </is>
      </c>
      <c r="C10" s="15" t="inlineStr">
        <is>
          <t>Instant Domain</t>
        </is>
      </c>
      <c r="D10" s="25" t="n">
        <v>20</v>
      </c>
      <c r="E10" s="26" t="n">
        <v>61.14</v>
      </c>
      <c r="F10" s="24" t="n"/>
    </row>
    <row r="11">
      <c r="A11" s="10" t="inlineStr">
        <is>
          <t>2026-04-10</t>
        </is>
      </c>
      <c r="B11" s="11" t="inlineStr">
        <is>
          <t>CapCut</t>
        </is>
      </c>
      <c r="C11" s="11" t="inlineStr">
        <is>
          <t>capcut_pro_discount1</t>
        </is>
      </c>
      <c r="D11" s="27" t="n">
        <v>16.323193</v>
      </c>
      <c r="E11" s="28" t="n">
        <v>49.9</v>
      </c>
      <c r="F11" s="29" t="n"/>
    </row>
    <row r="12">
      <c r="A12" s="14" t="inlineStr">
        <is>
          <t>2026-04-16</t>
        </is>
      </c>
      <c r="B12" s="15" t="inlineStr">
        <is>
          <t>OpenAI</t>
        </is>
      </c>
      <c r="C12" s="15" t="inlineStr">
        <is>
          <t>ChatGPT Plus</t>
        </is>
      </c>
      <c r="D12" s="25" t="n">
        <v>20</v>
      </c>
      <c r="E12" s="26" t="n">
        <v>61.14</v>
      </c>
      <c r="F12" s="24" t="n"/>
    </row>
    <row r="13" ht="24" customHeight="1">
      <c r="A13" s="30" t="inlineStr">
        <is>
          <t>סה"כ חודש"</t>
        </is>
      </c>
      <c r="B13" s="31" t="n"/>
      <c r="C13" s="31" t="n"/>
      <c r="D13" s="20">
        <f>SUM(D4:D12)</f>
        <v/>
      </c>
      <c r="E13" s="21">
        <f>SUM(E4:E12)</f>
        <v/>
      </c>
      <c r="F13" s="31" t="n"/>
    </row>
  </sheetData>
  <mergeCells count="2">
    <mergeCell ref="A13:C13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61.14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61.14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61.14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61.14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61.14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61.14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61.14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61.14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6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Timeless</t>
        </is>
      </c>
      <c r="B25" s="37">
        <f>SUMIFS('כל ההוצאות'!$D:$D,'כל ההוצאות'!$B:$B,"Timeless",'כל ההוצאות'!$F:$F,"יולי 2025")</f>
        <v/>
      </c>
      <c r="C25" s="38">
        <f>SUMIFS('כל ההוצאות'!$E:$E,'כל ההוצאות'!$B:$B,"Timeless",'כל ההוצאות'!$F:$F,"יולי 2025")</f>
        <v/>
      </c>
      <c r="D25" s="37">
        <f>SUMIFS('כל ההוצאות'!$D:$D,'כל ההוצאות'!$B:$B,"Timeless",'כל ההוצאות'!$F:$F,"אוגוסט 2025")</f>
        <v/>
      </c>
      <c r="E25" s="38">
        <f>SUMIFS('כל ההוצאות'!$E:$E,'כל ההוצאות'!$B:$B,"Timeless",'כל ההוצאות'!$F:$F,"אוגוסט 2025")</f>
        <v/>
      </c>
      <c r="F25" s="37">
        <f>SUMIFS('כל ההוצאות'!$D:$D,'כל ההוצאות'!$B:$B,"Timeless",'כל ההוצאות'!$F:$F,"ספטמבר 2025")</f>
        <v/>
      </c>
      <c r="G25" s="38">
        <f>SUMIFS('כל ההוצאות'!$E:$E,'כל ההוצאות'!$B:$B,"Timeless",'כל ההוצאות'!$F:$F,"ספטמבר 2025")</f>
        <v/>
      </c>
      <c r="H25" s="37">
        <f>SUMIFS('כל ההוצאות'!$D:$D,'כל ההוצאות'!$B:$B,"Timeless",'כל ההוצאות'!$F:$F,"אוקטובר 2025")</f>
        <v/>
      </c>
      <c r="I25" s="38">
        <f>SUMIFS('כל ההוצאות'!$E:$E,'כל ההוצאות'!$B:$B,"Timeless",'כל ההוצאות'!$F:$F,"אוקטובר 2025")</f>
        <v/>
      </c>
      <c r="J25" s="37">
        <f>SUMIFS('כל ההוצאות'!$D:$D,'כל ההוצאות'!$B:$B,"Timeless",'כל ההוצאות'!$F:$F,"נובמבר 2025")</f>
        <v/>
      </c>
      <c r="K25" s="38">
        <f>SUMIFS('כל ההוצאות'!$E:$E,'כל ההוצאות'!$B:$B,"Timeless",'כל ההוצאות'!$F:$F,"נובמבר 2025")</f>
        <v/>
      </c>
      <c r="L25" s="37">
        <f>SUMIFS('כל ההוצאות'!$D:$D,'כל ההוצאות'!$B:$B,"Timeless",'כל ההוצאות'!$F:$F,"דצמבר 2025")</f>
        <v/>
      </c>
      <c r="M25" s="38">
        <f>SUMIFS('כל ההוצאות'!$E:$E,'כל ההוצאות'!$B:$B,"Timeless",'כל ההוצאות'!$F:$F,"דצמבר 2025")</f>
        <v/>
      </c>
      <c r="N25" s="37">
        <f>SUMIFS('כל ההוצאות'!$D:$D,'כל ההוצאות'!$B:$B,"Timeless",'כל ההוצאות'!$F:$F,"ינואר 2026")</f>
        <v/>
      </c>
      <c r="O25" s="38">
        <f>SUMIFS('כל ההוצאות'!$E:$E,'כל ההוצאות'!$B:$B,"Timeless",'כל ההוצאות'!$F:$F,"ינואר 2026")</f>
        <v/>
      </c>
      <c r="P25" s="37">
        <f>SUMIFS('כל ההוצאות'!$D:$D,'כל ההוצאות'!$B:$B,"Timeless",'כל ההוצאות'!$F:$F,"פברואר 2026")</f>
        <v/>
      </c>
      <c r="Q25" s="38">
        <f>SUMIFS('כל ההוצאות'!$E:$E,'כל ההוצאות'!$B:$B,"Timeless",'כל ההוצאות'!$F:$F,"פברואר 2026")</f>
        <v/>
      </c>
      <c r="R25" s="37">
        <f>SUMIFS('כל ההוצאות'!$D:$D,'כל ההוצאות'!$B:$B,"Timeless",'כל ההוצאות'!$F:$F,"מרץ 2026")</f>
        <v/>
      </c>
      <c r="S25" s="38">
        <f>SUMIFS('כל ההוצאות'!$E:$E,'כל ההוצאות'!$B:$B,"Timeless",'כל ההוצאות'!$F:$F,"מרץ 2026")</f>
        <v/>
      </c>
      <c r="T25" s="37">
        <f>SUMIFS('כל ההוצאות'!$D:$D,'כל ההוצאות'!$B:$B,"Timeless",'כל ההוצאות'!$F:$F,"אפריל 2026")</f>
        <v/>
      </c>
      <c r="U25" s="38">
        <f>SUMIFS('כל ההוצאות'!$E:$E,'כל ההוצאות'!$B:$B,"Timeless",'כל ההוצאות'!$F:$F,"אפריל 2026")</f>
        <v/>
      </c>
      <c r="V25" s="37">
        <f>SUMIFS('כל ההוצאות'!$D:$D,'כל ההוצאות'!$B:$B,"Timeless",'כל ההוצאות'!$F:$F,"מאי 2026")</f>
        <v/>
      </c>
      <c r="W25" s="38">
        <f>SUMIFS('כל ההוצאות'!$E:$E,'כל ההוצאות'!$B:$B,"Timeless",'כל ההוצאות'!$F:$F,"מאי 2026")</f>
        <v/>
      </c>
      <c r="X25" s="37">
        <f>SUMIFS('כל ההוצאות'!$D:$D,'כל ההוצאות'!$B:$B,"Timeless",'כל ההוצאות'!$F:$F,"יוני 2026")</f>
        <v/>
      </c>
      <c r="Y25" s="38">
        <f>SUMIFS('כל ההוצאות'!$E:$E,'כל ההוצאות'!$B:$B,"Timeless",'כל ההוצאות'!$F:$F,"יוני 2026")</f>
        <v/>
      </c>
      <c r="Z25" s="37">
        <f>SUMIFS('כל ההוצאות'!$D:$D,'כל ההוצאות'!$B:$B,"Timeless",'כל ההוצאות'!$F:$F,"יולי 2026")</f>
        <v/>
      </c>
      <c r="AA25" s="38">
        <f>SUMIFS('כל ההוצאות'!$E:$E,'כל ההוצאות'!$B:$B,"Timeless",'כל ההוצאות'!$F:$F,"יולי 2026")</f>
        <v/>
      </c>
      <c r="AB25" s="37">
        <f>SUMIFS('כל ההוצאות'!$D:$D,'כל ההוצאות'!$B:$B,"Timeless",'כל ההוצאות'!$F:$F,"אוגוסט 2026")</f>
        <v/>
      </c>
      <c r="AC25" s="38">
        <f>SUMIFS('כל ההוצאות'!$E:$E,'כל ההוצאות'!$B:$B,"Timeless",'כל ההוצאות'!$F:$F,"אוגוסט 2026")</f>
        <v/>
      </c>
      <c r="AD25" s="37">
        <f>SUMIFS('כל ההוצאות'!$D:$D,'כל ההוצאות'!$B:$B,"Timeless",'כל ההוצאות'!$F:$F,"ספטמבר 2026")</f>
        <v/>
      </c>
      <c r="AE25" s="38">
        <f>SUMIFS('כל ההוצאות'!$E:$E,'כל ההוצאות'!$B:$B,"Timeless",'כל ההוצאות'!$F:$F,"ספטמבר 2026")</f>
        <v/>
      </c>
      <c r="AF25" s="37">
        <f>SUMIFS('כל ההוצאות'!$D:$D,'כל ההוצאות'!$B:$B,"Timeless",'כל ההוצאות'!$F:$F,"אוקטובר 2026")</f>
        <v/>
      </c>
      <c r="AG25" s="38">
        <f>SUMIFS('כל ההוצאות'!$E:$E,'כל ההוצאות'!$B:$B,"Timeless",'כל ההוצאות'!$F:$F,"אוקטובר 2026")</f>
        <v/>
      </c>
      <c r="AH25" s="37">
        <f>SUMIFS('כל ההוצאות'!$D:$D,'כל ההוצאות'!$B:$B,"Timeless",'כל ההוצאות'!$F:$F,"נובמבר 2026")</f>
        <v/>
      </c>
      <c r="AI25" s="38">
        <f>SUMIFS('כל ההוצאות'!$E:$E,'כל ההוצאות'!$B:$B,"Timeless",'כל ההוצאות'!$F:$F,"נובמבר 2026")</f>
        <v/>
      </c>
      <c r="AJ25" s="37">
        <f>SUMIFS('כל ההוצאות'!$D:$D,'כל ההוצאות'!$B:$B,"Timeless",'כל ההוצאות'!$F:$F,"דצמבר 2026")</f>
        <v/>
      </c>
      <c r="AK25" s="38">
        <f>SUMIFS('כל ההוצאות'!$E:$E,'כל ההוצאות'!$B:$B,"Timeless",'כל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 ht="24" customHeight="1">
      <c r="A26" s="30" t="inlineStr">
        <is>
          <t>סה"כ חודשי</t>
        </is>
      </c>
      <c r="B26" s="20">
        <f>SUM(B5:B25)</f>
        <v/>
      </c>
      <c r="C26" s="21">
        <f>SUM(C5:C25)</f>
        <v/>
      </c>
      <c r="D26" s="20">
        <f>SUM(D5:D25)</f>
        <v/>
      </c>
      <c r="E26" s="21">
        <f>SUM(E5:E25)</f>
        <v/>
      </c>
      <c r="F26" s="20">
        <f>SUM(F5:F25)</f>
        <v/>
      </c>
      <c r="G26" s="21">
        <f>SUM(G5:G25)</f>
        <v/>
      </c>
      <c r="H26" s="20">
        <f>SUM(H5:H25)</f>
        <v/>
      </c>
      <c r="I26" s="21">
        <f>SUM(I5:I25)</f>
        <v/>
      </c>
      <c r="J26" s="20">
        <f>SUM(J5:J25)</f>
        <v/>
      </c>
      <c r="K26" s="21">
        <f>SUM(K5:K25)</f>
        <v/>
      </c>
      <c r="L26" s="20">
        <f>SUM(L5:L25)</f>
        <v/>
      </c>
      <c r="M26" s="21">
        <f>SUM(M5:M25)</f>
        <v/>
      </c>
      <c r="N26" s="20">
        <f>SUM(N5:N25)</f>
        <v/>
      </c>
      <c r="O26" s="21">
        <f>SUM(O5:O25)</f>
        <v/>
      </c>
      <c r="P26" s="20">
        <f>SUM(P5:P25)</f>
        <v/>
      </c>
      <c r="Q26" s="21">
        <f>SUM(Q5:Q25)</f>
        <v/>
      </c>
      <c r="R26" s="20">
        <f>SUM(R5:R25)</f>
        <v/>
      </c>
      <c r="S26" s="21">
        <f>SUM(S5:S25)</f>
        <v/>
      </c>
      <c r="T26" s="20">
        <f>SUM(T5:T25)</f>
        <v/>
      </c>
      <c r="U26" s="21">
        <f>SUM(U5:U25)</f>
        <v/>
      </c>
      <c r="V26" s="20">
        <f>SUM(V5:V25)</f>
        <v/>
      </c>
      <c r="W26" s="21">
        <f>SUM(W5:W25)</f>
        <v/>
      </c>
      <c r="X26" s="20">
        <f>SUM(X5:X25)</f>
        <v/>
      </c>
      <c r="Y26" s="21">
        <f>SUM(Y5:Y25)</f>
        <v/>
      </c>
      <c r="Z26" s="20">
        <f>SUM(Z5:Z25)</f>
        <v/>
      </c>
      <c r="AA26" s="21">
        <f>SUM(AA5:AA25)</f>
        <v/>
      </c>
      <c r="AB26" s="20">
        <f>SUM(AB5:AB25)</f>
        <v/>
      </c>
      <c r="AC26" s="21">
        <f>SUM(AC5:AC25)</f>
        <v/>
      </c>
      <c r="AD26" s="20">
        <f>SUM(AD5:AD25)</f>
        <v/>
      </c>
      <c r="AE26" s="21">
        <f>SUM(AE5:AE25)</f>
        <v/>
      </c>
      <c r="AF26" s="20">
        <f>SUM(AF5:AF25)</f>
        <v/>
      </c>
      <c r="AG26" s="21">
        <f>SUM(AG5:AG25)</f>
        <v/>
      </c>
      <c r="AH26" s="20">
        <f>SUM(AH5:AH25)</f>
        <v/>
      </c>
      <c r="AI26" s="21">
        <f>SUM(AI5:AI25)</f>
        <v/>
      </c>
      <c r="AJ26" s="20">
        <f>SUM(AJ5:AJ25)</f>
        <v/>
      </c>
      <c r="AK26" s="21">
        <f>SUM(AK5:AK25)</f>
        <v/>
      </c>
      <c r="AL26" s="44">
        <f>SUM(AL5:AL25)</f>
        <v/>
      </c>
      <c r="AM26" s="45">
        <f>SUM(AM5:AM25)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2026-04-11T07:40:07Z</dcterms:created>
  <dcterms:modified xsi:type="dcterms:W3CDTF">2026-04-11T07:40:07Z</dcterms:modified>
</cp:coreProperties>
</file>