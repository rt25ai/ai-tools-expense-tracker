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1" autoFilterDateGrouping="1"/>
  </bookViews>
  <sheets>
    <sheet name="הגדרות" sheetId="1" state="visible" r:id="rId1"/>
    <sheet name="כל ההוצאות" sheetId="2" state="visible" r:id="rId2"/>
    <sheet name="יולי 2025" sheetId="3" state="visible" r:id="rId3"/>
    <sheet name="אוגוסט 2025" sheetId="4" state="visible" r:id="rId4"/>
    <sheet name="ספטמבר 2025" sheetId="5" state="visible" r:id="rId5"/>
    <sheet name="אוקטובר 2025" sheetId="6" state="visible" r:id="rId6"/>
    <sheet name="נובמבר 2025" sheetId="7" state="visible" r:id="rId7"/>
    <sheet name="דצמבר 2025" sheetId="8" state="visible" r:id="rId8"/>
    <sheet name="ינואר 2026" sheetId="9" state="visible" r:id="rId9"/>
    <sheet name="פברואר 2026" sheetId="10" state="visible" r:id="rId10"/>
    <sheet name="מרץ 2026" sheetId="11" state="visible" r:id="rId11"/>
    <sheet name="אפריל 2026" sheetId="12" state="visible" r:id="rId12"/>
    <sheet name="מאי 2026" sheetId="13" state="visible" r:id="rId13"/>
    <sheet name="יוני 2026" sheetId="14" state="visible" r:id="rId14"/>
    <sheet name="יולי 2026" sheetId="15" state="visible" r:id="rId15"/>
    <sheet name="אוגוסט 2026" sheetId="16" state="visible" r:id="rId16"/>
    <sheet name="ספטמבר 2026" sheetId="17" state="visible" r:id="rId17"/>
    <sheet name="אוקטובר 2026" sheetId="18" state="visible" r:id="rId18"/>
    <sheet name="נובמבר 2026" sheetId="19" state="visible" r:id="rId19"/>
    <sheet name="דצמבר 2026" sheetId="20" state="visible" r:id="rId20"/>
    <sheet name="סיכום חודשי" sheetId="21" state="visible" r:id="rId21"/>
    <sheet name="דוח שנתי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&quot; ₪/$&quot;"/>
    <numFmt numFmtId="165" formatCode="[$$-en-US]#,##0.00"/>
    <numFmt numFmtId="166" formatCode="#,##0.00&quot; ₪&quot;"/>
    <numFmt numFmtId="167" formatCode="[$$-en-US]#,##0.00;[$$-en-US](#,##0.00);&quot;-&quot;"/>
    <numFmt numFmtId="168" formatCode="#,##0.00&quot; ₪&quot;;(#,##0.00&quot; ₪&quot;);&quot;-&quot;"/>
    <numFmt numFmtId="169" formatCode="0.0%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0000FF"/>
      <sz val="12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0000FF"/>
      <sz val="9"/>
      <u val="single"/>
    </font>
    <font>
      <name val="Arial"/>
      <b val="1"/>
      <color rgb="00FFFFFF"/>
      <sz val="9"/>
      <u val="single"/>
    </font>
    <font>
      <name val="Arial"/>
      <b val="1"/>
      <color rgb="00FFFFFF"/>
      <sz val="9"/>
    </font>
    <font>
      <name val="Arial"/>
      <i val="1"/>
      <color rgb="00FFFFFF"/>
      <sz val="11"/>
    </font>
    <font>
      <name val="Arial"/>
      <b val="1"/>
      <color rgb="000000FF"/>
      <sz val="10"/>
      <u val="single"/>
    </font>
    <font>
      <name val="Arial"/>
      <b val="1"/>
      <sz val="11"/>
    </font>
    <font>
      <name val="Arial"/>
      <b val="1"/>
      <color rgb="00FFFFFF"/>
      <sz val="13"/>
    </font>
    <font>
      <name val="Arial"/>
      <b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00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165" fontId="9" fillId="5" borderId="2" applyAlignment="1" pivotButton="0" quotePrefix="0" xfId="0">
      <alignment horizontal="right" vertical="center"/>
    </xf>
    <xf numFmtId="166" fontId="9" fillId="5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 wrapText="1"/>
    </xf>
    <xf numFmtId="0" fontId="9" fillId="6" borderId="2" applyAlignment="1" pivotButton="0" quotePrefix="0" xfId="0">
      <alignment horizontal="left" vertical="center" wrapText="1"/>
    </xf>
    <xf numFmtId="165" fontId="9" fillId="6" borderId="2" applyAlignment="1" pivotButton="0" quotePrefix="0" xfId="0">
      <alignment horizontal="right" vertical="center"/>
    </xf>
    <xf numFmtId="166" fontId="9" fillId="6" borderId="2" applyAlignment="1" pivotButton="0" quotePrefix="0" xfId="0">
      <alignment horizontal="right" vertical="center"/>
    </xf>
    <xf numFmtId="0" fontId="8" fillId="2" borderId="2" applyAlignment="1" pivotButton="0" quotePrefix="0" xfId="0">
      <alignment horizontal="center" vertical="center" wrapText="1"/>
    </xf>
    <xf numFmtId="0" fontId="0" fillId="2" borderId="2" pivotButton="0" quotePrefix="0" xfId="0"/>
    <xf numFmtId="165" fontId="8" fillId="2" borderId="1" applyAlignment="1" pivotButton="0" quotePrefix="0" xfId="0">
      <alignment horizontal="right" vertical="center"/>
    </xf>
    <xf numFmtId="166" fontId="8" fillId="2" borderId="1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165" fontId="3" fillId="6" borderId="2" applyAlignment="1" pivotButton="0" quotePrefix="0" xfId="0">
      <alignment horizontal="right" vertical="center"/>
    </xf>
    <xf numFmtId="166" fontId="3" fillId="6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  <xf numFmtId="0" fontId="0" fillId="5" borderId="2" pivotButton="0" quotePrefix="0" xfId="0"/>
    <xf numFmtId="0" fontId="8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7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167" fontId="3" fillId="6" borderId="2" applyAlignment="1" pivotButton="0" quotePrefix="0" xfId="0">
      <alignment horizontal="right" vertical="center"/>
    </xf>
    <xf numFmtId="168" fontId="3" fillId="6" borderId="2" applyAlignment="1" pivotButton="0" quotePrefix="0" xfId="0">
      <alignment horizontal="right" vertical="center"/>
    </xf>
    <xf numFmtId="167" fontId="6" fillId="6" borderId="2" applyAlignment="1" pivotButton="0" quotePrefix="0" xfId="0">
      <alignment horizontal="right" vertical="center"/>
    </xf>
    <xf numFmtId="168" fontId="6" fillId="6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167" fontId="3" fillId="5" borderId="2" applyAlignment="1" pivotButton="0" quotePrefix="0" xfId="0">
      <alignment horizontal="right" vertical="center"/>
    </xf>
    <xf numFmtId="168" fontId="3" fillId="5" borderId="2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166" fontId="2" fillId="2" borderId="1" applyAlignment="1" pivotButton="0" quotePrefix="0" xfId="0">
      <alignment horizontal="right" vertical="center"/>
    </xf>
    <xf numFmtId="0" fontId="13" fillId="3" borderId="0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left" vertical="center" wrapText="1"/>
    </xf>
    <xf numFmtId="165" fontId="15" fillId="6" borderId="2" applyAlignment="1" pivotButton="0" quotePrefix="0" xfId="0">
      <alignment horizontal="right" vertical="center"/>
    </xf>
    <xf numFmtId="166" fontId="15" fillId="6" borderId="2" applyAlignment="1" pivotButton="0" quotePrefix="0" xfId="0">
      <alignment horizontal="right" vertical="center"/>
    </xf>
    <xf numFmtId="169" fontId="3" fillId="6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left" vertical="center" wrapText="1"/>
    </xf>
    <xf numFmtId="165" fontId="15" fillId="5" borderId="2" applyAlignment="1" pivotButton="0" quotePrefix="0" xfId="0">
      <alignment horizontal="right" vertical="center"/>
    </xf>
    <xf numFmtId="166" fontId="15" fillId="5" borderId="2" applyAlignment="1" pivotButton="0" quotePrefix="0" xfId="0">
      <alignment horizontal="right" vertical="center"/>
    </xf>
    <xf numFmtId="169" fontId="3" fillId="5" borderId="2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165" fontId="16" fillId="2" borderId="1" applyAlignment="1" pivotButton="0" quotePrefix="0" xfId="0">
      <alignment horizontal="right" vertical="center"/>
    </xf>
    <xf numFmtId="166" fontId="16" fillId="2" borderId="1" applyAlignment="1" pivotButton="0" quotePrefix="0" xfId="0">
      <alignment horizontal="right" vertical="center"/>
    </xf>
    <xf numFmtId="169" fontId="8" fillId="2" borderId="1" applyAlignment="1" pivotButton="0" quotePrefix="0" xfId="0">
      <alignment horizontal="center" vertical="center" wrapText="1"/>
    </xf>
    <xf numFmtId="0" fontId="17" fillId="6" borderId="2" applyAlignment="1" pivotButton="0" quotePrefix="0" xfId="0">
      <alignment horizontal="center" vertical="center" wrapText="1"/>
    </xf>
    <xf numFmtId="165" fontId="17" fillId="6" borderId="2" applyAlignment="1" pivotButton="0" quotePrefix="0" xfId="0">
      <alignment horizontal="right" vertical="center"/>
    </xf>
    <xf numFmtId="166" fontId="17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AI &amp; Business Tools Expenses (USD)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'דוח שנתי'!C3</f>
            </strRef>
          </tx>
          <spPr>
            <a:ln>
              <a:prstDash val="solid"/>
            </a:ln>
          </spPr>
          <cat>
            <numRef>
              <f>'דוח שנתי'!$A$4:$A$21</f>
            </numRef>
          </cat>
          <val>
            <numRef>
              <f>'דוח שנתי'!$C$4:$C$21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#'&#1505;&#1497;&#1499;&#1493;&#1501; &#1495;&#1493;&#1491;&#1513;&#1497;'!A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#'&#1497;&#1493;&#1500;&#1497; 2025'!A1" TargetMode="External" Id="rId1" /><Relationship Type="http://schemas.openxmlformats.org/officeDocument/2006/relationships/hyperlink" Target="#'&#1488;&#1493;&#1490;&#1493;&#1505;&#1496; 2025'!A1" TargetMode="External" Id="rId2" /><Relationship Type="http://schemas.openxmlformats.org/officeDocument/2006/relationships/hyperlink" Target="#'&#1505;&#1508;&#1496;&#1502;&#1489;&#1512; 2025'!A1" TargetMode="External" Id="rId3" /><Relationship Type="http://schemas.openxmlformats.org/officeDocument/2006/relationships/hyperlink" Target="#'&#1488;&#1493;&#1511;&#1496;&#1493;&#1489;&#1512; 2025'!A1" TargetMode="External" Id="rId4" /><Relationship Type="http://schemas.openxmlformats.org/officeDocument/2006/relationships/hyperlink" Target="#'&#1504;&#1493;&#1489;&#1502;&#1489;&#1512; 2025'!A1" TargetMode="External" Id="rId5" /><Relationship Type="http://schemas.openxmlformats.org/officeDocument/2006/relationships/hyperlink" Target="#'&#1491;&#1510;&#1502;&#1489;&#1512; 2025'!A1" TargetMode="External" Id="rId6" /><Relationship Type="http://schemas.openxmlformats.org/officeDocument/2006/relationships/hyperlink" Target="#'&#1497;&#1504;&#1493;&#1488;&#1512; 2026'!A1" TargetMode="External" Id="rId7" /><Relationship Type="http://schemas.openxmlformats.org/officeDocument/2006/relationships/hyperlink" Target="#'&#1508;&#1489;&#1512;&#1493;&#1488;&#1512; 2026'!A1" TargetMode="External" Id="rId8" /><Relationship Type="http://schemas.openxmlformats.org/officeDocument/2006/relationships/hyperlink" Target="#'&#1502;&#1512;&#1509; 2026'!A1" TargetMode="External" Id="rId9" /><Relationship Type="http://schemas.openxmlformats.org/officeDocument/2006/relationships/hyperlink" Target="#'&#1488;&#1508;&#1512;&#1497;&#1500; 2026'!A1" TargetMode="External" Id="rId10" /><Relationship Type="http://schemas.openxmlformats.org/officeDocument/2006/relationships/hyperlink" Target="#'&#1502;&#1488;&#1497; 2026'!A1" TargetMode="External" Id="rId11" /><Relationship Type="http://schemas.openxmlformats.org/officeDocument/2006/relationships/hyperlink" Target="#'&#1497;&#1493;&#1504;&#1497; 2026'!A1" TargetMode="External" Id="rId12" /><Relationship Type="http://schemas.openxmlformats.org/officeDocument/2006/relationships/hyperlink" Target="#'&#1497;&#1493;&#1500;&#1497; 2026'!A1" TargetMode="External" Id="rId13" /><Relationship Type="http://schemas.openxmlformats.org/officeDocument/2006/relationships/hyperlink" Target="#'&#1488;&#1493;&#1490;&#1493;&#1505;&#1496; 2026'!A1" TargetMode="External" Id="rId14" /><Relationship Type="http://schemas.openxmlformats.org/officeDocument/2006/relationships/hyperlink" Target="#'&#1505;&#1508;&#1496;&#1502;&#1489;&#1512; 2026'!A1" TargetMode="External" Id="rId15" /><Relationship Type="http://schemas.openxmlformats.org/officeDocument/2006/relationships/hyperlink" Target="#'&#1488;&#1493;&#1511;&#1496;&#1493;&#1489;&#1512; 2026'!A1" TargetMode="External" Id="rId16" /><Relationship Type="http://schemas.openxmlformats.org/officeDocument/2006/relationships/hyperlink" Target="#'&#1504;&#1493;&#1489;&#1502;&#1489;&#1512; 2026'!A1" TargetMode="External" Id="rId17" /><Relationship Type="http://schemas.openxmlformats.org/officeDocument/2006/relationships/hyperlink" Target="#'&#1491;&#1510;&#1502;&#1489;&#1512; 2026'!A1" TargetMode="External" Id="rId18" /></Relationships>
</file>

<file path=xl/worksheets/_rels/sheet22.xml.rels><Relationships xmlns="http://schemas.openxmlformats.org/package/2006/relationships"><Relationship Type="http://schemas.openxmlformats.org/officeDocument/2006/relationships/hyperlink" Target="#'&#1497;&#1493;&#1500;&#1497; 2025'!A1" TargetMode="External" Id="rId1" /><Relationship Type="http://schemas.openxmlformats.org/officeDocument/2006/relationships/hyperlink" Target="#'&#1488;&#1493;&#1490;&#1493;&#1505;&#1496; 2025'!A1" TargetMode="External" Id="rId2" /><Relationship Type="http://schemas.openxmlformats.org/officeDocument/2006/relationships/hyperlink" Target="#'&#1505;&#1508;&#1496;&#1502;&#1489;&#1512; 2025'!A1" TargetMode="External" Id="rId3" /><Relationship Type="http://schemas.openxmlformats.org/officeDocument/2006/relationships/hyperlink" Target="#'&#1488;&#1493;&#1511;&#1496;&#1493;&#1489;&#1512; 2025'!A1" TargetMode="External" Id="rId4" /><Relationship Type="http://schemas.openxmlformats.org/officeDocument/2006/relationships/hyperlink" Target="#'&#1504;&#1493;&#1489;&#1502;&#1489;&#1512; 2025'!A1" TargetMode="External" Id="rId5" /><Relationship Type="http://schemas.openxmlformats.org/officeDocument/2006/relationships/hyperlink" Target="#'&#1491;&#1510;&#1502;&#1489;&#1512; 2025'!A1" TargetMode="External" Id="rId6" /><Relationship Type="http://schemas.openxmlformats.org/officeDocument/2006/relationships/hyperlink" Target="#'&#1497;&#1504;&#1493;&#1488;&#1512; 2026'!A1" TargetMode="External" Id="rId7" /><Relationship Type="http://schemas.openxmlformats.org/officeDocument/2006/relationships/hyperlink" Target="#'&#1508;&#1489;&#1512;&#1493;&#1488;&#1512; 2026'!A1" TargetMode="External" Id="rId8" /><Relationship Type="http://schemas.openxmlformats.org/officeDocument/2006/relationships/hyperlink" Target="#'&#1502;&#1512;&#1509; 2026'!A1" TargetMode="External" Id="rId9" /><Relationship Type="http://schemas.openxmlformats.org/officeDocument/2006/relationships/hyperlink" Target="#'&#1488;&#1508;&#1512;&#1497;&#1500; 2026'!A1" TargetMode="External" Id="rId10" /><Relationship Type="http://schemas.openxmlformats.org/officeDocument/2006/relationships/hyperlink" Target="#'&#1502;&#1488;&#1497; 2026'!A1" TargetMode="External" Id="rId11" /><Relationship Type="http://schemas.openxmlformats.org/officeDocument/2006/relationships/hyperlink" Target="#'&#1497;&#1493;&#1504;&#1497; 2026'!A1" TargetMode="External" Id="rId12" /><Relationship Type="http://schemas.openxmlformats.org/officeDocument/2006/relationships/hyperlink" Target="#'&#1497;&#1493;&#1500;&#1497; 2026'!A1" TargetMode="External" Id="rId13" /><Relationship Type="http://schemas.openxmlformats.org/officeDocument/2006/relationships/hyperlink" Target="#'&#1488;&#1493;&#1490;&#1493;&#1505;&#1496; 2026'!A1" TargetMode="External" Id="rId14" /><Relationship Type="http://schemas.openxmlformats.org/officeDocument/2006/relationships/hyperlink" Target="#'&#1505;&#1508;&#1496;&#1502;&#1489;&#1512; 2026'!A1" TargetMode="External" Id="rId15" /><Relationship Type="http://schemas.openxmlformats.org/officeDocument/2006/relationships/hyperlink" Target="#'&#1488;&#1493;&#1511;&#1496;&#1493;&#1489;&#1512; 2026'!A1" TargetMode="External" Id="rId16" /><Relationship Type="http://schemas.openxmlformats.org/officeDocument/2006/relationships/hyperlink" Target="#'&#1504;&#1493;&#1489;&#1502;&#1489;&#1512; 2026'!A1" TargetMode="External" Id="rId17" /><Relationship Type="http://schemas.openxmlformats.org/officeDocument/2006/relationships/hyperlink" Target="#'&#1491;&#1510;&#1502;&#1489;&#1512; 2026'!A1" TargetMode="External" Id="rId18" /><Relationship Type="http://schemas.openxmlformats.org/officeDocument/2006/relationships/drawing" Target="/xl/drawings/drawing1.xml" Id="rId19" /></Relationships>
</file>

<file path=xl/worksheets/sheet1.xml><?xml version="1.0" encoding="utf-8"?>
<worksheet xmlns="http://schemas.openxmlformats.org/spreadsheetml/2006/main">
  <sheetPr>
    <tabColor rgb="00ED7D31"/>
    <outlinePr summaryBelow="1" summaryRight="1"/>
    <pageSetUpPr/>
  </sheetPr>
  <dimension ref="A1:E12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45" customWidth="1" min="3" max="3"/>
  </cols>
  <sheetData>
    <row r="1" ht="35" customHeight="1">
      <c r="A1" s="1" t="inlineStr">
        <is>
          <t xml:space="preserve">  הגדרות ופרמטרים – AI &amp; Business Tools Expenses</t>
        </is>
      </c>
    </row>
    <row r="3">
      <c r="A3" s="2" t="inlineStr">
        <is>
          <t>שער חליפין</t>
        </is>
      </c>
    </row>
    <row r="4" ht="22" customHeight="1">
      <c r="A4" s="3" t="inlineStr">
        <is>
          <t>שער USD → ILS (מתעדכן אוטומטית)</t>
        </is>
      </c>
      <c r="B4" s="4" t="n">
        <v>2.962</v>
      </c>
      <c r="C4" s="5" t="inlineStr">
        <is>
          <t>← מקור: Bank of Israel Public API | עודכן: 2026-05-04</t>
        </is>
      </c>
    </row>
    <row r="6">
      <c r="A6" s="6" t="inlineStr">
        <is>
          <t>הערה:</t>
        </is>
      </c>
      <c r="B6" s="7" t="inlineStr">
        <is>
          <t>כל הסכומים בשקלים מחושבים על פי השיעור שמוגדר בתא B4. ניתן לשנות שיעור זה לפי השיעור היסטורי הרצוי. שיעורי ההמרה בפועל ששולמו עשויים להיות שונים מעט בשל עמלות המרה.</t>
        </is>
      </c>
    </row>
    <row r="7"/>
    <row r="8"/>
    <row r="10">
      <c r="A10" s="6" t="inlineStr">
        <is>
          <t>חיובים קבועים:</t>
        </is>
      </c>
      <c r="B10" s="7" t="inlineStr">
        <is>
          <t>OpenAI / ChatGPT Plus – $20 בכל 16 לחודש. החיוב מתווסף אוטומטית לכל חודש בדוחות, בגליונות ובדשבורד, וכאשר תגיע חשבונית OpenAI במייל היא אמורה להיות מזוהה תחת אותו כלי.</t>
        </is>
      </c>
    </row>
    <row r="11"/>
    <row r="12"/>
  </sheetData>
  <mergeCells count="4">
    <mergeCell ref="A3:B3"/>
    <mergeCell ref="B10:E12"/>
    <mergeCell ref="A1:E1"/>
    <mergeCell ref="B6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13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16" customWidth="1" min="6" max="6"/>
  </cols>
  <sheetData>
    <row r="1" ht="32" customHeight="1">
      <c r="A1" s="8" t="inlineStr">
        <is>
          <t>כל ההוצאות – כלי AI  |  יולי 2025 – דצמבר 2026</t>
        </is>
      </c>
    </row>
    <row r="2" ht="22" customHeight="1">
      <c r="A2" s="9" t="inlineStr">
        <is>
          <t>תאריך</t>
        </is>
      </c>
      <c r="B2" s="9" t="inlineStr">
        <is>
          <t>כלי</t>
        </is>
      </c>
      <c r="C2" s="9" t="inlineStr">
        <is>
          <t>תיאור</t>
        </is>
      </c>
      <c r="D2" s="9" t="inlineStr">
        <is>
          <t>סכום ($)</t>
        </is>
      </c>
      <c r="E2" s="9" t="inlineStr">
        <is>
          <t>סכום (₪)</t>
        </is>
      </c>
      <c r="F2" s="9" t="inlineStr">
        <is>
          <t>חודש</t>
        </is>
      </c>
    </row>
    <row r="3">
      <c r="A3" s="10" t="inlineStr">
        <is>
          <t>2025-07-04</t>
        </is>
      </c>
      <c r="B3" s="11" t="inlineStr">
        <is>
          <t>Recraft</t>
        </is>
      </c>
      <c r="C3" s="11" t="inlineStr">
        <is>
          <t>Basic – first month promo</t>
        </is>
      </c>
      <c r="D3" s="12" t="n">
        <v>1.127616</v>
      </c>
      <c r="E3" s="13" t="n">
        <v>3.34</v>
      </c>
      <c r="F3" s="10" t="inlineStr">
        <is>
          <t>יולי 2025</t>
        </is>
      </c>
    </row>
    <row r="4">
      <c r="A4" s="14" t="inlineStr">
        <is>
          <t>2025-07-09</t>
        </is>
      </c>
      <c r="B4" s="15" t="inlineStr">
        <is>
          <t>Ideogram AI</t>
        </is>
      </c>
      <c r="C4" s="15" t="inlineStr">
        <is>
          <t>Ideogram Basic – annual</t>
        </is>
      </c>
      <c r="D4" s="16" t="n">
        <v>81.390952</v>
      </c>
      <c r="E4" s="17" t="n">
        <v>241.08</v>
      </c>
      <c r="F4" s="14" t="inlineStr">
        <is>
          <t>יולי 2025</t>
        </is>
      </c>
    </row>
    <row r="5">
      <c r="A5" s="10" t="inlineStr">
        <is>
          <t>2025-07-10</t>
        </is>
      </c>
      <c r="B5" s="11" t="inlineStr">
        <is>
          <t>Make</t>
        </is>
      </c>
      <c r="C5" s="11" t="inlineStr">
        <is>
          <t>Core plan 10k ops/month</t>
        </is>
      </c>
      <c r="D5" s="12" t="n">
        <v>11.829845</v>
      </c>
      <c r="E5" s="13" t="n">
        <v>35.04</v>
      </c>
      <c r="F5" s="10" t="inlineStr">
        <is>
          <t>יולי 2025</t>
        </is>
      </c>
    </row>
    <row r="6">
      <c r="A6" s="14" t="inlineStr">
        <is>
          <t>2025-07-11</t>
        </is>
      </c>
      <c r="B6" s="15" t="inlineStr">
        <is>
          <t>Anthropic</t>
        </is>
      </c>
      <c r="C6" s="15" t="inlineStr">
        <is>
          <t>Claude Pro</t>
        </is>
      </c>
      <c r="D6" s="16" t="n">
        <v>22.383525</v>
      </c>
      <c r="E6" s="17" t="n">
        <v>66.3</v>
      </c>
      <c r="F6" s="14" t="inlineStr">
        <is>
          <t>יולי 2025</t>
        </is>
      </c>
    </row>
    <row r="7">
      <c r="A7" s="10" t="inlineStr">
        <is>
          <t>2025-07-16</t>
        </is>
      </c>
      <c r="B7" s="11" t="inlineStr">
        <is>
          <t>OpenAI</t>
        </is>
      </c>
      <c r="C7" s="11" t="inlineStr">
        <is>
          <t>ChatGPT Plus</t>
        </is>
      </c>
      <c r="D7" s="12" t="n">
        <v>20</v>
      </c>
      <c r="E7" s="13" t="n">
        <v>67.31</v>
      </c>
      <c r="F7" s="10" t="inlineStr">
        <is>
          <t>יולי 2025</t>
        </is>
      </c>
    </row>
    <row r="8">
      <c r="A8" s="14" t="inlineStr">
        <is>
          <t>2025-07-20</t>
        </is>
      </c>
      <c r="B8" s="15" t="inlineStr">
        <is>
          <t>Runway ML</t>
        </is>
      </c>
      <c r="C8" s="15" t="inlineStr">
        <is>
          <t>Standard (10% affiliate off)</t>
        </is>
      </c>
      <c r="D8" s="16" t="n">
        <v>15.303849</v>
      </c>
      <c r="E8" s="17" t="n">
        <v>45.33</v>
      </c>
      <c r="F8" s="14" t="inlineStr">
        <is>
          <t>יולי 2025</t>
        </is>
      </c>
    </row>
    <row r="9">
      <c r="A9" s="10" t="inlineStr">
        <is>
          <t>2025-07-30</t>
        </is>
      </c>
      <c r="B9" s="11" t="inlineStr">
        <is>
          <t>Ideogram AI</t>
        </is>
      </c>
      <c r="C9" s="11" t="inlineStr">
        <is>
          <t>Upgrade -&gt; Plus Annual</t>
        </is>
      </c>
      <c r="D9" s="12" t="n">
        <v>128.582039</v>
      </c>
      <c r="E9" s="13" t="n">
        <v>380.86</v>
      </c>
      <c r="F9" s="10" t="inlineStr">
        <is>
          <t>יולי 2025</t>
        </is>
      </c>
    </row>
    <row r="10">
      <c r="A10" s="14" t="inlineStr">
        <is>
          <t>2025-07-30</t>
        </is>
      </c>
      <c r="B10" s="15" t="inlineStr">
        <is>
          <t>Replicate</t>
        </is>
      </c>
      <c r="C10" s="15" t="inlineStr">
        <is>
          <t>Early card charge</t>
        </is>
      </c>
      <c r="D10" s="16" t="n">
        <v>11.363943</v>
      </c>
      <c r="E10" s="17" t="n">
        <v>33.66</v>
      </c>
      <c r="F10" s="14" t="inlineStr">
        <is>
          <t>יולי 2025</t>
        </is>
      </c>
    </row>
    <row r="11">
      <c r="A11" s="10" t="inlineStr">
        <is>
          <t>2025-08-01</t>
        </is>
      </c>
      <c r="B11" s="11" t="inlineStr">
        <is>
          <t>Google Workspace</t>
        </is>
      </c>
      <c r="C11" s="11" t="inlineStr">
        <is>
          <t>Business Plus – Jul 2025 (₪56.93)</t>
        </is>
      </c>
      <c r="D11" s="12" t="n">
        <v>19.220122</v>
      </c>
      <c r="E11" s="13" t="n">
        <v>56.93</v>
      </c>
      <c r="F11" s="10" t="inlineStr">
        <is>
          <t>אוגוסט 2025</t>
        </is>
      </c>
    </row>
    <row r="12">
      <c r="A12" s="14" t="inlineStr">
        <is>
          <t>2025-08-02</t>
        </is>
      </c>
      <c r="B12" s="15" t="inlineStr">
        <is>
          <t>Runway ML</t>
        </is>
      </c>
      <c r="C12" s="15" t="inlineStr">
        <is>
          <t>Credits 1,500</t>
        </is>
      </c>
      <c r="D12" s="16" t="n">
        <v>17.282242</v>
      </c>
      <c r="E12" s="17" t="n">
        <v>51.19</v>
      </c>
      <c r="F12" s="14" t="inlineStr">
        <is>
          <t>אוגוסט 2025</t>
        </is>
      </c>
    </row>
    <row r="13">
      <c r="A13" s="10" t="inlineStr">
        <is>
          <t>2025-08-04</t>
        </is>
      </c>
      <c r="B13" s="11" t="inlineStr">
        <is>
          <t>Recraft</t>
        </is>
      </c>
      <c r="C13" s="11" t="inlineStr">
        <is>
          <t>Basic monthly</t>
        </is>
      </c>
      <c r="D13" s="12" t="n">
        <v>13.81499</v>
      </c>
      <c r="E13" s="13" t="n">
        <v>40.92</v>
      </c>
      <c r="F13" s="10" t="inlineStr">
        <is>
          <t>אוגוסט 2025</t>
        </is>
      </c>
    </row>
    <row r="14">
      <c r="A14" s="14" t="inlineStr">
        <is>
          <t>2025-08-05</t>
        </is>
      </c>
      <c r="B14" s="15" t="inlineStr">
        <is>
          <t>Replicate</t>
        </is>
      </c>
      <c r="C14" s="15" t="inlineStr">
        <is>
          <t>Usage - July</t>
        </is>
      </c>
      <c r="D14" s="16" t="n">
        <v>1.039838</v>
      </c>
      <c r="E14" s="17" t="n">
        <v>3.08</v>
      </c>
      <c r="F14" s="14" t="inlineStr">
        <is>
          <t>אוגוסט 2025</t>
        </is>
      </c>
    </row>
    <row r="15">
      <c r="A15" s="10" t="inlineStr">
        <is>
          <t>2025-08-09</t>
        </is>
      </c>
      <c r="B15" s="11" t="inlineStr">
        <is>
          <t>Manus AI</t>
        </is>
      </c>
      <c r="C15" s="11" t="inlineStr">
        <is>
          <t>Basic monthly</t>
        </is>
      </c>
      <c r="D15" s="12" t="n">
        <v>22.025658</v>
      </c>
      <c r="E15" s="13" t="n">
        <v>65.23999999999999</v>
      </c>
      <c r="F15" s="10" t="inlineStr">
        <is>
          <t>אוגוסט 2025</t>
        </is>
      </c>
    </row>
    <row r="16">
      <c r="A16" s="14" t="inlineStr">
        <is>
          <t>2025-08-10</t>
        </is>
      </c>
      <c r="B16" s="15" t="inlineStr">
        <is>
          <t>Make</t>
        </is>
      </c>
      <c r="C16" s="15" t="inlineStr">
        <is>
          <t>Core plan 10k ops/month</t>
        </is>
      </c>
      <c r="D16" s="16" t="n">
        <v>12.27549</v>
      </c>
      <c r="E16" s="17" t="n">
        <v>36.36</v>
      </c>
      <c r="F16" s="14" t="inlineStr">
        <is>
          <t>אוגוסט 2025</t>
        </is>
      </c>
    </row>
    <row r="17">
      <c r="A17" s="10" t="inlineStr">
        <is>
          <t>2025-08-11</t>
        </is>
      </c>
      <c r="B17" s="11" t="inlineStr">
        <is>
          <t>Anthropic</t>
        </is>
      </c>
      <c r="C17" s="11" t="inlineStr">
        <is>
          <t>Claude Pro</t>
        </is>
      </c>
      <c r="D17" s="12" t="n">
        <v>23.102633</v>
      </c>
      <c r="E17" s="13" t="n">
        <v>68.43000000000001</v>
      </c>
      <c r="F17" s="10" t="inlineStr">
        <is>
          <t>אוגוסט 2025</t>
        </is>
      </c>
    </row>
    <row r="18">
      <c r="A18" s="14" t="inlineStr">
        <is>
          <t>2025-08-16</t>
        </is>
      </c>
      <c r="B18" s="15" t="inlineStr">
        <is>
          <t>OpenAI</t>
        </is>
      </c>
      <c r="C18" s="15" t="inlineStr">
        <is>
          <t>ChatGPT Plus</t>
        </is>
      </c>
      <c r="D18" s="16" t="n">
        <v>20</v>
      </c>
      <c r="E18" s="17" t="n">
        <v>67.54000000000001</v>
      </c>
      <c r="F18" s="14" t="inlineStr">
        <is>
          <t>אוגוסט 2025</t>
        </is>
      </c>
    </row>
    <row r="19">
      <c r="A19" s="10" t="inlineStr">
        <is>
          <t>2025-08-30</t>
        </is>
      </c>
      <c r="B19" s="11" t="inlineStr">
        <is>
          <t>Eleven Labs</t>
        </is>
      </c>
      <c r="C19" s="11" t="inlineStr">
        <is>
          <t>Starter monthly</t>
        </is>
      </c>
      <c r="D19" s="12" t="n">
        <v>5.641458</v>
      </c>
      <c r="E19" s="13" t="n">
        <v>16.71</v>
      </c>
      <c r="F19" s="10" t="inlineStr">
        <is>
          <t>אוגוסט 2025</t>
        </is>
      </c>
    </row>
    <row r="20">
      <c r="A20" s="14" t="inlineStr">
        <is>
          <t>2025-08-30</t>
        </is>
      </c>
      <c r="B20" s="15" t="inlineStr">
        <is>
          <t>Runway ML</t>
        </is>
      </c>
      <c r="C20" s="15" t="inlineStr">
        <is>
          <t>Standard (25% off)</t>
        </is>
      </c>
      <c r="D20" s="16" t="n">
        <v>12.694126</v>
      </c>
      <c r="E20" s="17" t="n">
        <v>37.6</v>
      </c>
      <c r="F20" s="14" t="inlineStr">
        <is>
          <t>אוגוסט 2025</t>
        </is>
      </c>
    </row>
    <row r="21">
      <c r="A21" s="10" t="inlineStr">
        <is>
          <t>2025-09-01</t>
        </is>
      </c>
      <c r="B21" s="11" t="inlineStr">
        <is>
          <t>Google Workspace</t>
        </is>
      </c>
      <c r="C21" s="11" t="inlineStr">
        <is>
          <t>Business Plus – Aug 2025 (₪56.93)</t>
        </is>
      </c>
      <c r="D21" s="12" t="n">
        <v>19.220122</v>
      </c>
      <c r="E21" s="13" t="n">
        <v>56.93</v>
      </c>
      <c r="F21" s="10" t="inlineStr">
        <is>
          <t>ספטמבר 2025</t>
        </is>
      </c>
    </row>
    <row r="22">
      <c r="A22" s="14" t="inlineStr">
        <is>
          <t>2025-09-05</t>
        </is>
      </c>
      <c r="B22" s="15" t="inlineStr">
        <is>
          <t>Replicate</t>
        </is>
      </c>
      <c r="C22" s="15" t="inlineStr">
        <is>
          <t>Usage - August</t>
        </is>
      </c>
      <c r="D22" s="16" t="n">
        <v>3.153275</v>
      </c>
      <c r="E22" s="17" t="n">
        <v>9.34</v>
      </c>
      <c r="F22" s="14" t="inlineStr">
        <is>
          <t>ספטמבר 2025</t>
        </is>
      </c>
    </row>
    <row r="23">
      <c r="A23" s="10" t="inlineStr">
        <is>
          <t>2025-09-10</t>
        </is>
      </c>
      <c r="B23" s="11" t="inlineStr">
        <is>
          <t>Make</t>
        </is>
      </c>
      <c r="C23" s="11" t="inlineStr">
        <is>
          <t>Core plan 10k ops/month</t>
        </is>
      </c>
      <c r="D23" s="12" t="n">
        <v>11.95476</v>
      </c>
      <c r="E23" s="13" t="n">
        <v>35.41</v>
      </c>
      <c r="F23" s="10" t="inlineStr">
        <is>
          <t>ספטמבר 2025</t>
        </is>
      </c>
    </row>
    <row r="24">
      <c r="A24" s="14" t="inlineStr">
        <is>
          <t>2025-09-16</t>
        </is>
      </c>
      <c r="B24" s="15" t="inlineStr">
        <is>
          <t>OpenAI</t>
        </is>
      </c>
      <c r="C24" s="15" t="inlineStr">
        <is>
          <t>ChatGPT Plus</t>
        </is>
      </c>
      <c r="D24" s="16" t="n">
        <v>20</v>
      </c>
      <c r="E24" s="17" t="n">
        <v>67.01000000000001</v>
      </c>
      <c r="F24" s="14" t="inlineStr">
        <is>
          <t>ספטמבר 2025</t>
        </is>
      </c>
    </row>
    <row r="25">
      <c r="A25" s="10" t="inlineStr">
        <is>
          <t>2025-09-24</t>
        </is>
      </c>
      <c r="B25" s="11" t="inlineStr">
        <is>
          <t>Anthropic</t>
        </is>
      </c>
      <c r="C25" s="11" t="inlineStr">
        <is>
          <t>Claude Pro</t>
        </is>
      </c>
      <c r="D25" s="12" t="n">
        <v>22.572586</v>
      </c>
      <c r="E25" s="13" t="n">
        <v>66.86</v>
      </c>
      <c r="F25" s="10" t="inlineStr">
        <is>
          <t>ספטמבר 2025</t>
        </is>
      </c>
    </row>
    <row r="26">
      <c r="A26" s="14" t="inlineStr">
        <is>
          <t>2025-09-30</t>
        </is>
      </c>
      <c r="B26" s="15" t="inlineStr">
        <is>
          <t>Eleven Labs</t>
        </is>
      </c>
      <c r="C26" s="15" t="inlineStr">
        <is>
          <t>Starter monthly</t>
        </is>
      </c>
      <c r="D26" s="16" t="n">
        <v>5.573937</v>
      </c>
      <c r="E26" s="17" t="n">
        <v>16.51</v>
      </c>
      <c r="F26" s="14" t="inlineStr">
        <is>
          <t>ספטמבר 2025</t>
        </is>
      </c>
    </row>
    <row r="27">
      <c r="A27" s="10" t="inlineStr">
        <is>
          <t>2025-10-02</t>
        </is>
      </c>
      <c r="B27" s="11" t="inlineStr">
        <is>
          <t>Google Workspace</t>
        </is>
      </c>
      <c r="C27" s="11" t="inlineStr">
        <is>
          <t>Business Plus – Sep 2025 (₪56.93)</t>
        </is>
      </c>
      <c r="D27" s="12" t="n">
        <v>19.220122</v>
      </c>
      <c r="E27" s="13" t="n">
        <v>56.93</v>
      </c>
      <c r="F27" s="10" t="inlineStr">
        <is>
          <t>אוקטובר 2025</t>
        </is>
      </c>
    </row>
    <row r="28">
      <c r="A28" s="14" t="inlineStr">
        <is>
          <t>2025-10-16</t>
        </is>
      </c>
      <c r="B28" s="15" t="inlineStr">
        <is>
          <t>OpenAI</t>
        </is>
      </c>
      <c r="C28" s="15" t="inlineStr">
        <is>
          <t>ChatGPT Plus</t>
        </is>
      </c>
      <c r="D28" s="16" t="n">
        <v>20</v>
      </c>
      <c r="E28" s="17" t="n">
        <v>65.72</v>
      </c>
      <c r="F28" s="14" t="inlineStr">
        <is>
          <t>אוקטובר 2025</t>
        </is>
      </c>
    </row>
    <row r="29">
      <c r="A29" s="10" t="inlineStr">
        <is>
          <t>2025-10-24</t>
        </is>
      </c>
      <c r="B29" s="11" t="inlineStr">
        <is>
          <t>Anthropic</t>
        </is>
      </c>
      <c r="C29" s="11" t="inlineStr">
        <is>
          <t>Claude Pro</t>
        </is>
      </c>
      <c r="D29" s="12" t="n">
        <v>22.21472</v>
      </c>
      <c r="E29" s="13" t="n">
        <v>65.8</v>
      </c>
      <c r="F29" s="10" t="inlineStr">
        <is>
          <t>אוקטובר 2025</t>
        </is>
      </c>
    </row>
    <row r="30">
      <c r="A30" s="14" t="inlineStr">
        <is>
          <t>2025-10-30</t>
        </is>
      </c>
      <c r="B30" s="15" t="inlineStr">
        <is>
          <t>Eleven Labs</t>
        </is>
      </c>
      <c r="C30" s="15" t="inlineStr">
        <is>
          <t>Starter monthly</t>
        </is>
      </c>
      <c r="D30" s="16" t="n">
        <v>5.49291</v>
      </c>
      <c r="E30" s="17" t="n">
        <v>16.27</v>
      </c>
      <c r="F30" s="14" t="inlineStr">
        <is>
          <t>אוקטובר 2025</t>
        </is>
      </c>
    </row>
    <row r="31">
      <c r="A31" s="10" t="inlineStr">
        <is>
          <t>2025-11-09</t>
        </is>
      </c>
      <c r="B31" s="11" t="inlineStr">
        <is>
          <t>Recraft</t>
        </is>
      </c>
      <c r="C31" s="11" t="inlineStr">
        <is>
          <t>Pro 1k credits</t>
        </is>
      </c>
      <c r="D31" s="12" t="n">
        <v>13.207292</v>
      </c>
      <c r="E31" s="13" t="n">
        <v>39.12</v>
      </c>
      <c r="F31" s="10" t="inlineStr">
        <is>
          <t>נובמבר 2025</t>
        </is>
      </c>
    </row>
    <row r="32">
      <c r="A32" s="14" t="inlineStr">
        <is>
          <t>2025-11-11</t>
        </is>
      </c>
      <c r="B32" s="15" t="inlineStr">
        <is>
          <t>Astria</t>
        </is>
      </c>
      <c r="C32" s="15" t="inlineStr">
        <is>
          <t>Credits x10 + 18% VAT</t>
        </is>
      </c>
      <c r="D32" s="16" t="n">
        <v>12.86293</v>
      </c>
      <c r="E32" s="17" t="n">
        <v>38.1</v>
      </c>
      <c r="F32" s="14" t="inlineStr">
        <is>
          <t>נובמבר 2025</t>
        </is>
      </c>
    </row>
    <row r="33">
      <c r="A33" s="10" t="inlineStr">
        <is>
          <t>2025-11-11</t>
        </is>
      </c>
      <c r="B33" s="11" t="inlineStr">
        <is>
          <t>Runway ML</t>
        </is>
      </c>
      <c r="C33" s="11" t="inlineStr">
        <is>
          <t>Standard monthly</t>
        </is>
      </c>
      <c r="D33" s="12" t="n">
        <v>16.353815</v>
      </c>
      <c r="E33" s="13" t="n">
        <v>48.44</v>
      </c>
      <c r="F33" s="10" t="inlineStr">
        <is>
          <t>נובמבר 2025</t>
        </is>
      </c>
    </row>
    <row r="34">
      <c r="A34" s="14" t="inlineStr">
        <is>
          <t>2025-11-13</t>
        </is>
      </c>
      <c r="B34" s="15" t="inlineStr">
        <is>
          <t>Hedra</t>
        </is>
      </c>
      <c r="C34" s="15" t="inlineStr">
        <is>
          <t>Extra Small Credit Pack</t>
        </is>
      </c>
      <c r="D34" s="16" t="n">
        <v>10.786631</v>
      </c>
      <c r="E34" s="17" t="n">
        <v>31.95</v>
      </c>
      <c r="F34" s="14" t="inlineStr">
        <is>
          <t>נובמבר 2025</t>
        </is>
      </c>
    </row>
    <row r="35">
      <c r="A35" s="10" t="inlineStr">
        <is>
          <t>2025-11-16</t>
        </is>
      </c>
      <c r="B35" s="11" t="inlineStr">
        <is>
          <t>OpenAI</t>
        </is>
      </c>
      <c r="C35" s="11" t="inlineStr">
        <is>
          <t>ChatGPT Plus</t>
        </is>
      </c>
      <c r="D35" s="12" t="n">
        <v>20</v>
      </c>
      <c r="E35" s="13" t="n">
        <v>64.68000000000001</v>
      </c>
      <c r="F35" s="10" t="inlineStr">
        <is>
          <t>נובמבר 2025</t>
        </is>
      </c>
    </row>
    <row r="36">
      <c r="A36" s="14" t="inlineStr">
        <is>
          <t>2025-11-24</t>
        </is>
      </c>
      <c r="B36" s="15" t="inlineStr">
        <is>
          <t>Anthropic</t>
        </is>
      </c>
      <c r="C36" s="15" t="inlineStr">
        <is>
          <t>Claude Pro</t>
        </is>
      </c>
      <c r="D36" s="16" t="n">
        <v>22.120189</v>
      </c>
      <c r="E36" s="17" t="n">
        <v>65.52</v>
      </c>
      <c r="F36" s="14" t="inlineStr">
        <is>
          <t>נובמבר 2025</t>
        </is>
      </c>
    </row>
    <row r="37">
      <c r="A37" s="10" t="inlineStr">
        <is>
          <t>2025-11-30</t>
        </is>
      </c>
      <c r="B37" s="11" t="inlineStr">
        <is>
          <t>Eleven Labs</t>
        </is>
      </c>
      <c r="C37" s="11" t="inlineStr">
        <is>
          <t>Starter monthly</t>
        </is>
      </c>
      <c r="D37" s="12" t="n">
        <v>5.506415</v>
      </c>
      <c r="E37" s="13" t="n">
        <v>16.31</v>
      </c>
      <c r="F37" s="10" t="inlineStr">
        <is>
          <t>נובמבר 2025</t>
        </is>
      </c>
    </row>
    <row r="38">
      <c r="A38" s="14" t="inlineStr">
        <is>
          <t>2025-12-01</t>
        </is>
      </c>
      <c r="B38" s="15" t="inlineStr">
        <is>
          <t>Google Workspace</t>
        </is>
      </c>
      <c r="C38" s="15" t="inlineStr">
        <is>
          <t>Business Plus – Nov 2025 (₪75.90)</t>
        </is>
      </c>
      <c r="D38" s="16" t="n">
        <v>25.624578</v>
      </c>
      <c r="E38" s="17" t="n">
        <v>75.90000000000001</v>
      </c>
      <c r="F38" s="14" t="inlineStr">
        <is>
          <t>דצמבר 2025</t>
        </is>
      </c>
    </row>
    <row r="39">
      <c r="A39" s="10" t="inlineStr">
        <is>
          <t>2025-12-03</t>
        </is>
      </c>
      <c r="B39" s="11" t="inlineStr">
        <is>
          <t>Manychat</t>
        </is>
      </c>
      <c r="C39" s="11" t="inlineStr">
        <is>
          <t>Pro monthly</t>
        </is>
      </c>
      <c r="D39" s="12" t="n">
        <v>16.468602</v>
      </c>
      <c r="E39" s="13" t="n">
        <v>48.78</v>
      </c>
      <c r="F39" s="10" t="inlineStr">
        <is>
          <t>דצמבר 2025</t>
        </is>
      </c>
    </row>
    <row r="40">
      <c r="A40" s="14" t="inlineStr">
        <is>
          <t>2025-12-03</t>
        </is>
      </c>
      <c r="B40" s="15" t="inlineStr">
        <is>
          <t>Meta (Ads)</t>
        </is>
      </c>
      <c r="C40" s="15" t="inlineStr">
        <is>
          <t>Facebook Ads</t>
        </is>
      </c>
      <c r="D40" s="16" t="n">
        <v>10.671843</v>
      </c>
      <c r="E40" s="17" t="n">
        <v>31.61</v>
      </c>
      <c r="F40" s="14" t="inlineStr">
        <is>
          <t>דצמבר 2025</t>
        </is>
      </c>
    </row>
    <row r="41">
      <c r="A41" s="10" t="inlineStr">
        <is>
          <t>2025-12-08</t>
        </is>
      </c>
      <c r="B41" s="11" t="inlineStr">
        <is>
          <t>Meta (Ads)</t>
        </is>
      </c>
      <c r="C41" s="11" t="inlineStr">
        <is>
          <t>Facebook Ads</t>
        </is>
      </c>
      <c r="D41" s="12" t="n">
        <v>32.734639</v>
      </c>
      <c r="E41" s="13" t="n">
        <v>96.95999999999999</v>
      </c>
      <c r="F41" s="10" t="inlineStr">
        <is>
          <t>דצמבר 2025</t>
        </is>
      </c>
    </row>
    <row r="42">
      <c r="A42" s="14" t="inlineStr">
        <is>
          <t>2025-12-16</t>
        </is>
      </c>
      <c r="B42" s="15" t="inlineStr">
        <is>
          <t>Meta (Ads)</t>
        </is>
      </c>
      <c r="C42" s="15" t="inlineStr">
        <is>
          <t>Facebook Ads</t>
        </is>
      </c>
      <c r="D42" s="16" t="n">
        <v>35.796759</v>
      </c>
      <c r="E42" s="17" t="n">
        <v>106.03</v>
      </c>
      <c r="F42" s="14" t="inlineStr">
        <is>
          <t>דצמבר 2025</t>
        </is>
      </c>
    </row>
    <row r="43">
      <c r="A43" s="10" t="inlineStr">
        <is>
          <t>2025-12-16</t>
        </is>
      </c>
      <c r="B43" s="11" t="inlineStr">
        <is>
          <t>OpenAI</t>
        </is>
      </c>
      <c r="C43" s="11" t="inlineStr">
        <is>
          <t>ChatGPT Plus</t>
        </is>
      </c>
      <c r="D43" s="12" t="n">
        <v>20</v>
      </c>
      <c r="E43" s="13" t="n">
        <v>64.26000000000001</v>
      </c>
      <c r="F43" s="10" t="inlineStr">
        <is>
          <t>דצמבר 2025</t>
        </is>
      </c>
    </row>
    <row r="44">
      <c r="A44" s="14" t="inlineStr">
        <is>
          <t>2025-12-29</t>
        </is>
      </c>
      <c r="B44" s="15" t="inlineStr">
        <is>
          <t>Meta (Ads)</t>
        </is>
      </c>
      <c r="C44" s="15" t="inlineStr">
        <is>
          <t>Facebook Ads</t>
        </is>
      </c>
      <c r="D44" s="16" t="n">
        <v>38.760972</v>
      </c>
      <c r="E44" s="17" t="n">
        <v>114.81</v>
      </c>
      <c r="F44" s="14" t="inlineStr">
        <is>
          <t>דצמבר 2025</t>
        </is>
      </c>
    </row>
    <row r="45">
      <c r="A45" s="10" t="inlineStr">
        <is>
          <t>2025-12-30</t>
        </is>
      </c>
      <c r="B45" s="11" t="inlineStr">
        <is>
          <t>Eleven Labs</t>
        </is>
      </c>
      <c r="C45" s="11" t="inlineStr">
        <is>
          <t>Starter monthly</t>
        </is>
      </c>
      <c r="D45" s="12" t="n">
        <v>5.378123</v>
      </c>
      <c r="E45" s="13" t="n">
        <v>15.93</v>
      </c>
      <c r="F45" s="10" t="inlineStr">
        <is>
          <t>דצמבר 2025</t>
        </is>
      </c>
    </row>
    <row r="46">
      <c r="A46" s="14" t="inlineStr">
        <is>
          <t>2026-01-01</t>
        </is>
      </c>
      <c r="B46" s="15" t="inlineStr">
        <is>
          <t>Google Workspace</t>
        </is>
      </c>
      <c r="C46" s="15" t="inlineStr">
        <is>
          <t>Business Plus – Dec 2025 (₪75.90)</t>
        </is>
      </c>
      <c r="D46" s="16" t="n">
        <v>25.624578</v>
      </c>
      <c r="E46" s="17" t="n">
        <v>75.90000000000001</v>
      </c>
      <c r="F46" s="14" t="inlineStr">
        <is>
          <t>ינואר 2026</t>
        </is>
      </c>
    </row>
    <row r="47">
      <c r="A47" s="10" t="inlineStr">
        <is>
          <t>2026-01-03</t>
        </is>
      </c>
      <c r="B47" s="11" t="inlineStr">
        <is>
          <t>Genspark</t>
        </is>
      </c>
      <c r="C47" s="11" t="inlineStr">
        <is>
          <t>Plus Annual (happynewyear26 promo)</t>
        </is>
      </c>
      <c r="D47" s="12" t="n">
        <v>150.482782</v>
      </c>
      <c r="E47" s="13" t="n">
        <v>445.73</v>
      </c>
      <c r="F47" s="10" t="inlineStr">
        <is>
          <t>ינואר 2026</t>
        </is>
      </c>
    </row>
    <row r="48">
      <c r="A48" s="14" t="inlineStr">
        <is>
          <t>2026-01-03</t>
        </is>
      </c>
      <c r="B48" s="15" t="inlineStr">
        <is>
          <t>Manychat</t>
        </is>
      </c>
      <c r="C48" s="15" t="inlineStr">
        <is>
          <t>Pro monthly</t>
        </is>
      </c>
      <c r="D48" s="16" t="n">
        <v>16.130993</v>
      </c>
      <c r="E48" s="17" t="n">
        <v>47.78</v>
      </c>
      <c r="F48" s="14" t="inlineStr">
        <is>
          <t>ינואר 2026</t>
        </is>
      </c>
    </row>
    <row r="49">
      <c r="A49" s="10" t="inlineStr">
        <is>
          <t>2026-01-03</t>
        </is>
      </c>
      <c r="B49" s="11" t="inlineStr">
        <is>
          <t>Meta (Ads)</t>
        </is>
      </c>
      <c r="C49" s="11" t="inlineStr">
        <is>
          <t>Facebook Ads</t>
        </is>
      </c>
      <c r="D49" s="12" t="n">
        <v>20.898042</v>
      </c>
      <c r="E49" s="13" t="n">
        <v>61.9</v>
      </c>
      <c r="F49" s="10" t="inlineStr">
        <is>
          <t>ינואר 2026</t>
        </is>
      </c>
    </row>
    <row r="50">
      <c r="A50" s="14" t="inlineStr">
        <is>
          <t>2026-01-05</t>
        </is>
      </c>
      <c r="B50" s="15" t="inlineStr">
        <is>
          <t>Genspark</t>
        </is>
      </c>
      <c r="C50" s="15" t="inlineStr">
        <is>
          <t>Credits Pack</t>
        </is>
      </c>
      <c r="D50" s="16" t="n">
        <v>21.441594</v>
      </c>
      <c r="E50" s="17" t="n">
        <v>63.51</v>
      </c>
      <c r="F50" s="14" t="inlineStr">
        <is>
          <t>ינואר 2026</t>
        </is>
      </c>
    </row>
    <row r="51">
      <c r="A51" s="10" t="inlineStr">
        <is>
          <t>2026-01-08</t>
        </is>
      </c>
      <c r="B51" s="11" t="inlineStr">
        <is>
          <t>Genspark</t>
        </is>
      </c>
      <c r="C51" s="11" t="inlineStr">
        <is>
          <t>Credits Pack</t>
        </is>
      </c>
      <c r="D51" s="12" t="n">
        <v>21.380824</v>
      </c>
      <c r="E51" s="13" t="n">
        <v>63.33</v>
      </c>
      <c r="F51" s="10" t="inlineStr">
        <is>
          <t>ינואר 2026</t>
        </is>
      </c>
    </row>
    <row r="52">
      <c r="A52" s="14" t="inlineStr">
        <is>
          <t>2026-01-10</t>
        </is>
      </c>
      <c r="B52" s="15" t="inlineStr">
        <is>
          <t>CapCut</t>
        </is>
      </c>
      <c r="C52" s="15" t="inlineStr">
        <is>
          <t>Pro – Jan 2026 (₪49.90)</t>
        </is>
      </c>
      <c r="D52" s="16" t="n">
        <v>16.846725</v>
      </c>
      <c r="E52" s="17" t="n">
        <v>49.9</v>
      </c>
      <c r="F52" s="14" t="inlineStr">
        <is>
          <t>ינואר 2026</t>
        </is>
      </c>
    </row>
    <row r="53">
      <c r="A53" s="10" t="inlineStr">
        <is>
          <t>2026-01-16</t>
        </is>
      </c>
      <c r="B53" s="11" t="inlineStr">
        <is>
          <t>OpenAI</t>
        </is>
      </c>
      <c r="C53" s="11" t="inlineStr">
        <is>
          <t>ChatGPT Plus</t>
        </is>
      </c>
      <c r="D53" s="12" t="n">
        <v>20</v>
      </c>
      <c r="E53" s="13" t="n">
        <v>62.81</v>
      </c>
      <c r="F53" s="10" t="inlineStr">
        <is>
          <t>ינואר 2026</t>
        </is>
      </c>
    </row>
    <row r="54">
      <c r="A54" s="14" t="inlineStr">
        <is>
          <t>2026-01-19</t>
        </is>
      </c>
      <c r="B54" s="15" t="inlineStr">
        <is>
          <t>Meta (Ads)</t>
        </is>
      </c>
      <c r="C54" s="15" t="inlineStr">
        <is>
          <t>Facebook Ads</t>
        </is>
      </c>
      <c r="D54" s="16" t="n">
        <v>41.458474</v>
      </c>
      <c r="E54" s="17" t="n">
        <v>122.8</v>
      </c>
      <c r="F54" s="14" t="inlineStr">
        <is>
          <t>ינואר 2026</t>
        </is>
      </c>
    </row>
    <row r="55">
      <c r="A55" s="10" t="inlineStr">
        <is>
          <t>2026-01-25</t>
        </is>
      </c>
      <c r="B55" s="11" t="inlineStr">
        <is>
          <t>Lovable</t>
        </is>
      </c>
      <c r="C55" s="11" t="inlineStr">
        <is>
          <t>Pro 1 monthly</t>
        </is>
      </c>
      <c r="D55" s="12" t="n">
        <v>26.404456</v>
      </c>
      <c r="E55" s="13" t="n">
        <v>78.20999999999999</v>
      </c>
      <c r="F55" s="10" t="inlineStr">
        <is>
          <t>ינואר 2026</t>
        </is>
      </c>
    </row>
    <row r="56">
      <c r="A56" s="14" t="inlineStr">
        <is>
          <t>2026-01-27</t>
        </is>
      </c>
      <c r="B56" s="15" t="inlineStr">
        <is>
          <t>Meta (Ads)</t>
        </is>
      </c>
      <c r="C56" s="15" t="inlineStr">
        <is>
          <t>Facebook Ads</t>
        </is>
      </c>
      <c r="D56" s="16" t="n">
        <v>45.239703</v>
      </c>
      <c r="E56" s="17" t="n">
        <v>134</v>
      </c>
      <c r="F56" s="14" t="inlineStr">
        <is>
          <t>ינואר 2026</t>
        </is>
      </c>
    </row>
    <row r="57">
      <c r="A57" s="10" t="inlineStr">
        <is>
          <t>2026-01-30</t>
        </is>
      </c>
      <c r="B57" s="11" t="inlineStr">
        <is>
          <t>Eleven Labs</t>
        </is>
      </c>
      <c r="C57" s="11" t="inlineStr">
        <is>
          <t>Starter monthly</t>
        </is>
      </c>
      <c r="D57" s="12" t="n">
        <v>5.209318</v>
      </c>
      <c r="E57" s="13" t="n">
        <v>15.43</v>
      </c>
      <c r="F57" s="10" t="inlineStr">
        <is>
          <t>ינואר 2026</t>
        </is>
      </c>
    </row>
    <row r="58">
      <c r="A58" s="14" t="inlineStr">
        <is>
          <t>2026-01-30</t>
        </is>
      </c>
      <c r="B58" s="15" t="inlineStr">
        <is>
          <t>Timeless</t>
        </is>
      </c>
      <c r="C58" s="15" t="inlineStr">
        <is>
          <t>Pro monthly (50% off)</t>
        </is>
      </c>
      <c r="D58" s="16" t="n">
        <v>15.104659</v>
      </c>
      <c r="E58" s="17" t="n">
        <v>44.74</v>
      </c>
      <c r="F58" s="14" t="inlineStr">
        <is>
          <t>ינואר 2026</t>
        </is>
      </c>
    </row>
    <row r="59">
      <c r="A59" s="10" t="inlineStr">
        <is>
          <t>2026-02-01</t>
        </is>
      </c>
      <c r="B59" s="11" t="inlineStr">
        <is>
          <t>Lovable</t>
        </is>
      </c>
      <c r="C59" s="11" t="inlineStr">
        <is>
          <t>Upgrade Pro1 -&gt; Pro2 (prorated)</t>
        </is>
      </c>
      <c r="D59" s="12" t="n">
        <v>26.18501</v>
      </c>
      <c r="E59" s="13" t="n">
        <v>77.56</v>
      </c>
      <c r="F59" s="10" t="inlineStr">
        <is>
          <t>פברואר 2026</t>
        </is>
      </c>
    </row>
    <row r="60">
      <c r="A60" s="14" t="inlineStr">
        <is>
          <t>2026-02-02</t>
        </is>
      </c>
      <c r="B60" s="15" t="inlineStr">
        <is>
          <t>Google Workspace</t>
        </is>
      </c>
      <c r="C60" s="15" t="inlineStr">
        <is>
          <t>Business Plus – Jan 2026 (₪75.90)</t>
        </is>
      </c>
      <c r="D60" s="16" t="n">
        <v>25.624578</v>
      </c>
      <c r="E60" s="17" t="n">
        <v>75.90000000000001</v>
      </c>
      <c r="F60" s="14" t="inlineStr">
        <is>
          <t>פברואר 2026</t>
        </is>
      </c>
    </row>
    <row r="61">
      <c r="A61" s="10" t="inlineStr">
        <is>
          <t>2026-02-03</t>
        </is>
      </c>
      <c r="B61" s="11" t="inlineStr">
        <is>
          <t>Meta (Ads)</t>
        </is>
      </c>
      <c r="C61" s="11" t="inlineStr">
        <is>
          <t>Facebook Ads</t>
        </is>
      </c>
      <c r="D61" s="12" t="n">
        <v>32.873059</v>
      </c>
      <c r="E61" s="13" t="n">
        <v>97.37</v>
      </c>
      <c r="F61" s="10" t="inlineStr">
        <is>
          <t>פברואר 2026</t>
        </is>
      </c>
    </row>
    <row r="62">
      <c r="A62" s="14" t="inlineStr">
        <is>
          <t>2026-02-10</t>
        </is>
      </c>
      <c r="B62" s="15" t="inlineStr">
        <is>
          <t>CapCut</t>
        </is>
      </c>
      <c r="C62" s="15" t="inlineStr">
        <is>
          <t>Pro – Feb 2026 (₪49.90)</t>
        </is>
      </c>
      <c r="D62" s="16" t="n">
        <v>16.846725</v>
      </c>
      <c r="E62" s="17" t="n">
        <v>49.9</v>
      </c>
      <c r="F62" s="14" t="inlineStr">
        <is>
          <t>פברואר 2026</t>
        </is>
      </c>
    </row>
    <row r="63">
      <c r="A63" s="10" t="inlineStr">
        <is>
          <t>2026-02-12</t>
        </is>
      </c>
      <c r="B63" s="11" t="inlineStr">
        <is>
          <t>Meta (Ads)</t>
        </is>
      </c>
      <c r="C63" s="11" t="inlineStr">
        <is>
          <t>Facebook Ads</t>
        </is>
      </c>
      <c r="D63" s="12" t="n">
        <v>48.825118</v>
      </c>
      <c r="E63" s="13" t="n">
        <v>144.62</v>
      </c>
      <c r="F63" s="10" t="inlineStr">
        <is>
          <t>פברואר 2026</t>
        </is>
      </c>
    </row>
    <row r="64">
      <c r="A64" s="14" t="inlineStr">
        <is>
          <t>2026-02-15</t>
        </is>
      </c>
      <c r="B64" s="15" t="inlineStr">
        <is>
          <t>Anthropic</t>
        </is>
      </c>
      <c r="C64" s="15" t="inlineStr">
        <is>
          <t>Claude Pro</t>
        </is>
      </c>
      <c r="D64" s="16" t="n">
        <v>20.840648</v>
      </c>
      <c r="E64" s="17" t="n">
        <v>61.73</v>
      </c>
      <c r="F64" s="14" t="inlineStr">
        <is>
          <t>פברואר 2026</t>
        </is>
      </c>
    </row>
    <row r="65">
      <c r="A65" s="10" t="inlineStr">
        <is>
          <t>2026-02-16</t>
        </is>
      </c>
      <c r="B65" s="11" t="inlineStr">
        <is>
          <t>Anthropic</t>
        </is>
      </c>
      <c r="C65" s="11" t="inlineStr">
        <is>
          <t>Credit purchase</t>
        </is>
      </c>
      <c r="D65" s="12" t="n">
        <v>5.212694</v>
      </c>
      <c r="E65" s="13" t="n">
        <v>15.44</v>
      </c>
      <c r="F65" s="10" t="inlineStr">
        <is>
          <t>פברואר 2026</t>
        </is>
      </c>
    </row>
    <row r="66">
      <c r="A66" s="14" t="inlineStr">
        <is>
          <t>2026-02-16</t>
        </is>
      </c>
      <c r="B66" s="15" t="inlineStr">
        <is>
          <t>OpenAI</t>
        </is>
      </c>
      <c r="C66" s="15" t="inlineStr">
        <is>
          <t>ChatGPT Plus</t>
        </is>
      </c>
      <c r="D66" s="16" t="n">
        <v>20</v>
      </c>
      <c r="E66" s="17" t="n">
        <v>61.77</v>
      </c>
      <c r="F66" s="14" t="inlineStr">
        <is>
          <t>פברואר 2026</t>
        </is>
      </c>
    </row>
    <row r="67">
      <c r="A67" s="10" t="inlineStr">
        <is>
          <t>2026-02-24</t>
        </is>
      </c>
      <c r="B67" s="11" t="inlineStr">
        <is>
          <t>Higgsfield</t>
        </is>
      </c>
      <c r="C67" s="11" t="inlineStr">
        <is>
          <t>On-Demand credits 500</t>
        </is>
      </c>
      <c r="D67" s="12" t="n">
        <v>21.120864</v>
      </c>
      <c r="E67" s="13" t="n">
        <v>62.56</v>
      </c>
      <c r="F67" s="10" t="inlineStr">
        <is>
          <t>פברואר 2026</t>
        </is>
      </c>
    </row>
    <row r="68">
      <c r="A68" s="14" t="inlineStr">
        <is>
          <t>2026-02-25</t>
        </is>
      </c>
      <c r="B68" s="15" t="inlineStr">
        <is>
          <t>Lovable</t>
        </is>
      </c>
      <c r="C68" s="15" t="inlineStr">
        <is>
          <t>Pro2 monthly</t>
        </is>
      </c>
      <c r="D68" s="16" t="n">
        <v>52.316003</v>
      </c>
      <c r="E68" s="17" t="n">
        <v>154.96</v>
      </c>
      <c r="F68" s="14" t="inlineStr">
        <is>
          <t>פברואר 2026</t>
        </is>
      </c>
    </row>
    <row r="69">
      <c r="A69" s="10" t="inlineStr">
        <is>
          <t>2026-02-25</t>
        </is>
      </c>
      <c r="B69" s="11" t="inlineStr">
        <is>
          <t>Meta (Ads)</t>
        </is>
      </c>
      <c r="C69" s="11" t="inlineStr">
        <is>
          <t>Facebook Ads</t>
        </is>
      </c>
      <c r="D69" s="12" t="n">
        <v>53.362593</v>
      </c>
      <c r="E69" s="13" t="n">
        <v>158.06</v>
      </c>
      <c r="F69" s="10" t="inlineStr">
        <is>
          <t>פברואר 2026</t>
        </is>
      </c>
    </row>
    <row r="70">
      <c r="A70" s="14" t="inlineStr">
        <is>
          <t>2026-02-28</t>
        </is>
      </c>
      <c r="B70" s="15" t="inlineStr">
        <is>
          <t>Eleven Labs</t>
        </is>
      </c>
      <c r="C70" s="15" t="inlineStr">
        <is>
          <t>Starter monthly</t>
        </is>
      </c>
      <c r="D70" s="16" t="n">
        <v>5.29372</v>
      </c>
      <c r="E70" s="17" t="n">
        <v>15.68</v>
      </c>
      <c r="F70" s="14" t="inlineStr">
        <is>
          <t>פברואר 2026</t>
        </is>
      </c>
    </row>
    <row r="71">
      <c r="A71" s="10" t="inlineStr">
        <is>
          <t>2026-02-28</t>
        </is>
      </c>
      <c r="B71" s="11" t="inlineStr">
        <is>
          <t>Lovable</t>
        </is>
      </c>
      <c r="C71" s="11" t="inlineStr">
        <is>
          <t>Cloud &amp; AI Balance Top-up</t>
        </is>
      </c>
      <c r="D71" s="12" t="n">
        <v>10.584065</v>
      </c>
      <c r="E71" s="13" t="n">
        <v>31.35</v>
      </c>
      <c r="F71" s="10" t="inlineStr">
        <is>
          <t>פברואר 2026</t>
        </is>
      </c>
    </row>
    <row r="72">
      <c r="A72" s="14" t="inlineStr">
        <is>
          <t>2026-03-01</t>
        </is>
      </c>
      <c r="B72" s="15" t="inlineStr">
        <is>
          <t>Google Workspace</t>
        </is>
      </c>
      <c r="C72" s="15" t="inlineStr">
        <is>
          <t>Google Workspace (₪75.9)</t>
        </is>
      </c>
      <c r="D72" s="16" t="n">
        <v>25.624578</v>
      </c>
      <c r="E72" s="17" t="n">
        <v>75.90000000000001</v>
      </c>
      <c r="F72" s="14" t="inlineStr">
        <is>
          <t>מרץ 2026</t>
        </is>
      </c>
    </row>
    <row r="73">
      <c r="A73" s="10" t="inlineStr">
        <is>
          <t>2026-03-01</t>
        </is>
      </c>
      <c r="B73" s="11" t="inlineStr">
        <is>
          <t>Lovable</t>
        </is>
      </c>
      <c r="C73" s="11" t="inlineStr">
        <is>
          <t>Cloud &amp; AI Balance Top-up</t>
        </is>
      </c>
      <c r="D73" s="12" t="n">
        <v>10.560432</v>
      </c>
      <c r="E73" s="13" t="n">
        <v>31.28</v>
      </c>
      <c r="F73" s="10" t="inlineStr">
        <is>
          <t>מרץ 2026</t>
        </is>
      </c>
    </row>
    <row r="74">
      <c r="A74" s="14" t="inlineStr">
        <is>
          <t>2026-03-01</t>
        </is>
      </c>
      <c r="B74" s="15" t="inlineStr">
        <is>
          <t>Timeless</t>
        </is>
      </c>
      <c r="C74" s="15" t="inlineStr">
        <is>
          <t>Pro monthly (50% off)</t>
        </is>
      </c>
      <c r="D74" s="16" t="n">
        <v>15.313977</v>
      </c>
      <c r="E74" s="17" t="n">
        <v>45.36</v>
      </c>
      <c r="F74" s="14" t="inlineStr">
        <is>
          <t>מרץ 2026</t>
        </is>
      </c>
    </row>
    <row r="75">
      <c r="A75" s="10" t="inlineStr">
        <is>
          <t>2026-03-02</t>
        </is>
      </c>
      <c r="B75" s="11" t="inlineStr">
        <is>
          <t>Google Workspace</t>
        </is>
      </c>
      <c r="C75" s="11" t="inlineStr">
        <is>
          <t>Business Plus – Feb 2026 (₪75.90)</t>
        </is>
      </c>
      <c r="D75" s="12" t="n">
        <v>25.624578</v>
      </c>
      <c r="E75" s="13" t="n">
        <v>75.90000000000001</v>
      </c>
      <c r="F75" s="10" t="inlineStr">
        <is>
          <t>מרץ 2026</t>
        </is>
      </c>
    </row>
    <row r="76">
      <c r="A76" s="14" t="inlineStr">
        <is>
          <t>2026-03-02</t>
        </is>
      </c>
      <c r="B76" s="15" t="inlineStr">
        <is>
          <t>Lovable</t>
        </is>
      </c>
      <c r="C76" s="15" t="inlineStr">
        <is>
          <t>Cloud &amp; AI Balance Top-up</t>
        </is>
      </c>
      <c r="D76" s="16" t="n">
        <v>10.533423</v>
      </c>
      <c r="E76" s="17" t="n">
        <v>31.2</v>
      </c>
      <c r="F76" s="14" t="inlineStr">
        <is>
          <t>מרץ 2026</t>
        </is>
      </c>
    </row>
    <row r="77">
      <c r="A77" s="10" t="inlineStr">
        <is>
          <t>2026-03-03</t>
        </is>
      </c>
      <c r="B77" s="11" t="inlineStr">
        <is>
          <t>Meta (Ads)</t>
        </is>
      </c>
      <c r="C77" s="11" t="inlineStr">
        <is>
          <t>Facebook Ads</t>
        </is>
      </c>
      <c r="D77" s="12" t="n">
        <v>41.671168</v>
      </c>
      <c r="E77" s="13" t="n">
        <v>123.43</v>
      </c>
      <c r="F77" s="10" t="inlineStr">
        <is>
          <t>מרץ 2026</t>
        </is>
      </c>
    </row>
    <row r="78">
      <c r="A78" s="14" t="inlineStr">
        <is>
          <t>2026-03-10</t>
        </is>
      </c>
      <c r="B78" s="15" t="inlineStr">
        <is>
          <t>CapCut</t>
        </is>
      </c>
      <c r="C78" s="15" t="inlineStr">
        <is>
          <t>Pro – Mar 2026 (₪49.90)</t>
        </is>
      </c>
      <c r="D78" s="16" t="n">
        <v>16.846725</v>
      </c>
      <c r="E78" s="17" t="n">
        <v>49.9</v>
      </c>
      <c r="F78" s="14" t="inlineStr">
        <is>
          <t>מרץ 2026</t>
        </is>
      </c>
    </row>
    <row r="79">
      <c r="A79" s="10" t="inlineStr">
        <is>
          <t>2026-03-12</t>
        </is>
      </c>
      <c r="B79" s="11" t="inlineStr">
        <is>
          <t>Meta (Ads)</t>
        </is>
      </c>
      <c r="C79" s="11" t="inlineStr">
        <is>
          <t>Facebook Ads</t>
        </is>
      </c>
      <c r="D79" s="12" t="n">
        <v>53.906144</v>
      </c>
      <c r="E79" s="13" t="n">
        <v>159.67</v>
      </c>
      <c r="F79" s="10" t="inlineStr">
        <is>
          <t>מרץ 2026</t>
        </is>
      </c>
    </row>
    <row r="80">
      <c r="A80" s="14" t="inlineStr">
        <is>
          <t>2026-03-15</t>
        </is>
      </c>
      <c r="B80" s="15" t="inlineStr">
        <is>
          <t>Anthropic</t>
        </is>
      </c>
      <c r="C80" s="15" t="inlineStr">
        <is>
          <t>Claude Pro</t>
        </is>
      </c>
      <c r="D80" s="16" t="n">
        <v>21.225523</v>
      </c>
      <c r="E80" s="17" t="n">
        <v>62.87</v>
      </c>
      <c r="F80" s="14" t="inlineStr">
        <is>
          <t>מרץ 2026</t>
        </is>
      </c>
    </row>
    <row r="81">
      <c r="A81" s="10" t="inlineStr">
        <is>
          <t>2026-03-16</t>
        </is>
      </c>
      <c r="B81" s="11" t="inlineStr">
        <is>
          <t>OpenAI</t>
        </is>
      </c>
      <c r="C81" s="11" t="inlineStr">
        <is>
          <t>ChatGPT Plus</t>
        </is>
      </c>
      <c r="D81" s="12" t="n">
        <v>20</v>
      </c>
      <c r="E81" s="13" t="n">
        <v>62.87</v>
      </c>
      <c r="F81" s="10" t="inlineStr">
        <is>
          <t>מרץ 2026</t>
        </is>
      </c>
    </row>
    <row r="82">
      <c r="A82" s="14" t="inlineStr">
        <is>
          <t>2026-03-18</t>
        </is>
      </c>
      <c r="B82" s="15" t="inlineStr">
        <is>
          <t>CapCut</t>
        </is>
      </c>
      <c r="C82" s="15" t="inlineStr">
        <is>
          <t>Pro – Mar 2026 (₪49.90)</t>
        </is>
      </c>
      <c r="D82" s="16" t="n">
        <v>16.846725</v>
      </c>
      <c r="E82" s="17" t="n">
        <v>49.9</v>
      </c>
      <c r="F82" s="14" t="inlineStr">
        <is>
          <t>מרץ 2026</t>
        </is>
      </c>
    </row>
    <row r="83">
      <c r="A83" s="10" t="inlineStr">
        <is>
          <t>2026-03-19</t>
        </is>
      </c>
      <c r="B83" s="11" t="inlineStr">
        <is>
          <t>Anthropic</t>
        </is>
      </c>
      <c r="C83" s="11" t="inlineStr">
        <is>
          <t>Credit purchase</t>
        </is>
      </c>
      <c r="D83" s="12" t="n">
        <v>10.503038</v>
      </c>
      <c r="E83" s="13" t="n">
        <v>31.11</v>
      </c>
      <c r="F83" s="10" t="inlineStr">
        <is>
          <t>מרץ 2026</t>
        </is>
      </c>
    </row>
    <row r="84">
      <c r="A84" s="14" t="inlineStr">
        <is>
          <t>2026-03-19</t>
        </is>
      </c>
      <c r="B84" s="15" t="inlineStr">
        <is>
          <t>Eleven Labs</t>
        </is>
      </c>
      <c r="C84" s="15" t="inlineStr">
        <is>
          <t>Creator (first month 50% off)</t>
        </is>
      </c>
      <c r="D84" s="16" t="n">
        <v>11.553005</v>
      </c>
      <c r="E84" s="17" t="n">
        <v>34.22</v>
      </c>
      <c r="F84" s="14" t="inlineStr">
        <is>
          <t>מרץ 2026</t>
        </is>
      </c>
    </row>
    <row r="85">
      <c r="A85" s="10" t="inlineStr">
        <is>
          <t>2026-03-24</t>
        </is>
      </c>
      <c r="B85" s="11" t="inlineStr">
        <is>
          <t>Dzine</t>
        </is>
      </c>
      <c r="C85" s="11" t="inlineStr">
        <is>
          <t>Video Top-Up</t>
        </is>
      </c>
      <c r="D85" s="12" t="n">
        <v>9.473329</v>
      </c>
      <c r="E85" s="13" t="n">
        <v>28.06</v>
      </c>
      <c r="F85" s="10" t="inlineStr">
        <is>
          <t>מרץ 2026</t>
        </is>
      </c>
    </row>
    <row r="86">
      <c r="A86" s="14" t="inlineStr">
        <is>
          <t>2026-03-25</t>
        </is>
      </c>
      <c r="B86" s="15" t="inlineStr">
        <is>
          <t>Lovable</t>
        </is>
      </c>
      <c r="C86" s="15" t="inlineStr">
        <is>
          <t>Lite plan</t>
        </is>
      </c>
      <c r="D86" s="16" t="n">
        <v>5.273464</v>
      </c>
      <c r="E86" s="17" t="n">
        <v>15.62</v>
      </c>
      <c r="F86" s="14" t="inlineStr">
        <is>
          <t>מרץ 2026</t>
        </is>
      </c>
    </row>
    <row r="87">
      <c r="A87" s="10" t="inlineStr">
        <is>
          <t>2026-03-26</t>
        </is>
      </c>
      <c r="B87" s="11" t="inlineStr">
        <is>
          <t>Dzine</t>
        </is>
      </c>
      <c r="C87" s="11" t="inlineStr">
        <is>
          <t>Video Top-Up</t>
        </is>
      </c>
      <c r="D87" s="12" t="n">
        <v>21.056718</v>
      </c>
      <c r="E87" s="13" t="n">
        <v>62.37</v>
      </c>
      <c r="F87" s="10" t="inlineStr">
        <is>
          <t>מרץ 2026</t>
        </is>
      </c>
    </row>
    <row r="88">
      <c r="A88" s="14" t="inlineStr">
        <is>
          <t>2026-04-01</t>
        </is>
      </c>
      <c r="B88" s="15" t="inlineStr">
        <is>
          <t>Anthropic</t>
        </is>
      </c>
      <c r="C88" s="15" t="inlineStr">
        <is>
          <t>Prepaid extra usage, Individual plan</t>
        </is>
      </c>
      <c r="D88" s="16" t="n">
        <v>10.61445</v>
      </c>
      <c r="E88" s="17" t="n">
        <v>31.44</v>
      </c>
      <c r="F88" s="14" t="inlineStr">
        <is>
          <t>אפריל 2026</t>
        </is>
      </c>
    </row>
    <row r="89">
      <c r="A89" s="10" t="inlineStr">
        <is>
          <t>2026-04-01</t>
        </is>
      </c>
      <c r="B89" s="11" t="inlineStr">
        <is>
          <t>Google Workspace</t>
        </is>
      </c>
      <c r="C89" s="11" t="inlineStr">
        <is>
          <t>Business Plus – Mar 2026 (₪75.90)</t>
        </is>
      </c>
      <c r="D89" s="12" t="n">
        <v>25.624578</v>
      </c>
      <c r="E89" s="13" t="n">
        <v>75.90000000000001</v>
      </c>
      <c r="F89" s="10" t="inlineStr">
        <is>
          <t>אפריל 2026</t>
        </is>
      </c>
    </row>
    <row r="90">
      <c r="A90" s="14" t="inlineStr">
        <is>
          <t>2026-04-01</t>
        </is>
      </c>
      <c r="B90" s="15" t="inlineStr">
        <is>
          <t>Meta (Ads)</t>
        </is>
      </c>
      <c r="C90" s="15" t="inlineStr">
        <is>
          <t>Facebook Ads</t>
        </is>
      </c>
      <c r="D90" s="16" t="n">
        <v>56.154625</v>
      </c>
      <c r="E90" s="17" t="n">
        <v>166.33</v>
      </c>
      <c r="F90" s="14" t="inlineStr">
        <is>
          <t>אפריל 2026</t>
        </is>
      </c>
    </row>
    <row r="91">
      <c r="A91" s="10" t="inlineStr">
        <is>
          <t>2026-04-02</t>
        </is>
      </c>
      <c r="B91" s="11" t="inlineStr">
        <is>
          <t>Dzine</t>
        </is>
      </c>
      <c r="C91" s="11" t="inlineStr">
        <is>
          <t>Video Top-Up</t>
        </is>
      </c>
      <c r="D91" s="12" t="n">
        <v>19.071573</v>
      </c>
      <c r="E91" s="13" t="n">
        <v>56.49</v>
      </c>
      <c r="F91" s="10" t="inlineStr">
        <is>
          <t>אפריל 2026</t>
        </is>
      </c>
    </row>
    <row r="92">
      <c r="A92" s="14" t="inlineStr">
        <is>
          <t>2026-04-03</t>
        </is>
      </c>
      <c r="B92" s="15" t="inlineStr">
        <is>
          <t>Meta (Ads)</t>
        </is>
      </c>
      <c r="C92" s="15" t="inlineStr">
        <is>
          <t>Facebook Ads</t>
        </is>
      </c>
      <c r="D92" s="16" t="n">
        <v>2.380149</v>
      </c>
      <c r="E92" s="17" t="n">
        <v>7.05</v>
      </c>
      <c r="F92" s="14" t="inlineStr">
        <is>
          <t>אפריל 2026</t>
        </is>
      </c>
    </row>
    <row r="93">
      <c r="A93" s="10" t="inlineStr">
        <is>
          <t>2026-04-05</t>
        </is>
      </c>
      <c r="B93" s="11" t="inlineStr">
        <is>
          <t>IONOS</t>
        </is>
      </c>
      <c r="C93" s="11" t="inlineStr">
        <is>
          <t>Instant Domain</t>
        </is>
      </c>
      <c r="D93" s="12" t="n">
        <v>21.212019</v>
      </c>
      <c r="E93" s="13" t="n">
        <v>62.83</v>
      </c>
      <c r="F93" s="10" t="inlineStr">
        <is>
          <t>אפריל 2026</t>
        </is>
      </c>
    </row>
    <row r="94">
      <c r="A94" s="14" t="inlineStr">
        <is>
          <t>2026-04-10</t>
        </is>
      </c>
      <c r="B94" s="15" t="inlineStr">
        <is>
          <t>CapCut</t>
        </is>
      </c>
      <c r="C94" s="15" t="inlineStr">
        <is>
          <t>capcut_pro_discount1</t>
        </is>
      </c>
      <c r="D94" s="16" t="n">
        <v>16.846725</v>
      </c>
      <c r="E94" s="17" t="n">
        <v>49.9</v>
      </c>
      <c r="F94" s="14" t="inlineStr">
        <is>
          <t>אפריל 2026</t>
        </is>
      </c>
    </row>
    <row r="95">
      <c r="A95" s="10" t="inlineStr">
        <is>
          <t>2026-04-15</t>
        </is>
      </c>
      <c r="B95" s="11" t="inlineStr">
        <is>
          <t>Anthropic</t>
        </is>
      </c>
      <c r="C95" s="11" t="inlineStr">
        <is>
          <t>Claude Pro</t>
        </is>
      </c>
      <c r="D95" s="12" t="n">
        <v>20</v>
      </c>
      <c r="E95" s="13" t="n">
        <v>60.19</v>
      </c>
      <c r="F95" s="10" t="inlineStr">
        <is>
          <t>אפריל 2026</t>
        </is>
      </c>
    </row>
    <row r="96">
      <c r="A96" s="14" t="inlineStr">
        <is>
          <t>2026-04-16</t>
        </is>
      </c>
      <c r="B96" s="15" t="inlineStr">
        <is>
          <t>Anthropic</t>
        </is>
      </c>
      <c r="C96" s="15" t="inlineStr">
        <is>
          <t>Prepaid extra usage, Individual plan</t>
        </is>
      </c>
      <c r="D96" s="16" t="n">
        <v>10</v>
      </c>
      <c r="E96" s="17" t="n">
        <v>29.98</v>
      </c>
      <c r="F96" s="14" t="inlineStr">
        <is>
          <t>אפריל 2026</t>
        </is>
      </c>
    </row>
    <row r="97">
      <c r="A97" s="10" t="inlineStr">
        <is>
          <t>2026-04-16</t>
        </is>
      </c>
      <c r="B97" s="11" t="inlineStr">
        <is>
          <t>OpenAI</t>
        </is>
      </c>
      <c r="C97" s="11" t="inlineStr">
        <is>
          <t>ChatGPT Plus</t>
        </is>
      </c>
      <c r="D97" s="12" t="n">
        <v>20</v>
      </c>
      <c r="E97" s="13" t="n">
        <v>59.96</v>
      </c>
      <c r="F97" s="10" t="inlineStr">
        <is>
          <t>אפריל 2026</t>
        </is>
      </c>
    </row>
    <row r="98">
      <c r="A98" s="14" t="inlineStr">
        <is>
          <t>2026-04-18</t>
        </is>
      </c>
      <c r="B98" s="15" t="inlineStr">
        <is>
          <t>CapCut</t>
        </is>
      </c>
      <c r="C98" s="15" t="inlineStr">
        <is>
          <t>Pro – Apr 2026 (₪49.90)</t>
        </is>
      </c>
      <c r="D98" s="16" t="n">
        <v>16.846725</v>
      </c>
      <c r="E98" s="17" t="n">
        <v>49.9</v>
      </c>
      <c r="F98" s="14" t="inlineStr">
        <is>
          <t>אפריל 2026</t>
        </is>
      </c>
    </row>
    <row r="99">
      <c r="A99" s="10" t="inlineStr">
        <is>
          <t>2026-04-18</t>
        </is>
      </c>
      <c r="B99" s="11" t="inlineStr">
        <is>
          <t>OpenAI</t>
        </is>
      </c>
      <c r="C99" s="11" t="inlineStr">
        <is>
          <t>ChatGPT Pro Subscription</t>
        </is>
      </c>
      <c r="D99" s="12" t="n">
        <v>81.141121</v>
      </c>
      <c r="E99" s="13" t="n">
        <v>240.34</v>
      </c>
      <c r="F99" s="10" t="inlineStr">
        <is>
          <t>אפריל 2026</t>
        </is>
      </c>
    </row>
    <row r="100">
      <c r="A100" s="14" t="inlineStr">
        <is>
          <t>2026-04-19</t>
        </is>
      </c>
      <c r="B100" s="15" t="inlineStr">
        <is>
          <t>Anthropic</t>
        </is>
      </c>
      <c r="C100" s="15" t="inlineStr">
        <is>
          <t>Prepaid extra usage, Individual plan</t>
        </is>
      </c>
      <c r="D100" s="16" t="n">
        <v>5</v>
      </c>
      <c r="E100" s="17" t="n">
        <v>14.8</v>
      </c>
      <c r="F100" s="14" t="inlineStr">
        <is>
          <t>אפריל 2026</t>
        </is>
      </c>
    </row>
    <row r="101">
      <c r="A101" s="10" t="inlineStr">
        <is>
          <t>2026-04-19</t>
        </is>
      </c>
      <c r="B101" s="11" t="inlineStr">
        <is>
          <t>Eleven Labs</t>
        </is>
      </c>
      <c r="C101" s="11" t="inlineStr">
        <is>
          <t>Starter monthly</t>
        </is>
      </c>
      <c r="D101" s="12" t="n">
        <v>4.996624</v>
      </c>
      <c r="E101" s="13" t="n">
        <v>14.8</v>
      </c>
      <c r="F101" s="10" t="inlineStr">
        <is>
          <t>אפריל 2026</t>
        </is>
      </c>
    </row>
    <row r="102">
      <c r="A102" s="14" t="inlineStr">
        <is>
          <t>2026-04-20</t>
        </is>
      </c>
      <c r="B102" s="15" t="inlineStr">
        <is>
          <t>Anthropic</t>
        </is>
      </c>
      <c r="C102" s="15" t="inlineStr">
        <is>
          <t>Auto recharge extra usage, Individual plan</t>
        </is>
      </c>
      <c r="D102" s="16" t="n">
        <v>15.14</v>
      </c>
      <c r="E102" s="17" t="n">
        <v>44.81</v>
      </c>
      <c r="F102" s="14" t="inlineStr">
        <is>
          <t>אפריל 2026</t>
        </is>
      </c>
    </row>
    <row r="103">
      <c r="A103" s="10" t="inlineStr">
        <is>
          <t>2026-04-20</t>
        </is>
      </c>
      <c r="B103" s="11" t="inlineStr">
        <is>
          <t>Anthropic</t>
        </is>
      </c>
      <c r="C103" s="11" t="inlineStr">
        <is>
          <t>Prepaid extra usage, Individual plan</t>
        </is>
      </c>
      <c r="D103" s="12" t="n">
        <v>10</v>
      </c>
      <c r="E103" s="13" t="n">
        <v>29.6</v>
      </c>
      <c r="F103" s="10" t="inlineStr">
        <is>
          <t>אפריל 2026</t>
        </is>
      </c>
    </row>
    <row r="104">
      <c r="A104" s="14" t="inlineStr">
        <is>
          <t>2026-04-21</t>
        </is>
      </c>
      <c r="B104" s="15" t="inlineStr">
        <is>
          <t>Anthropic</t>
        </is>
      </c>
      <c r="C104" s="15" t="inlineStr">
        <is>
          <t>Auto recharge extra usage, Individual plan</t>
        </is>
      </c>
      <c r="D104" s="16" t="n">
        <v>10.15</v>
      </c>
      <c r="E104" s="17" t="n">
        <v>30.34</v>
      </c>
      <c r="F104" s="14" t="inlineStr">
        <is>
          <t>אפריל 2026</t>
        </is>
      </c>
    </row>
    <row r="105">
      <c r="A105" s="10" t="inlineStr">
        <is>
          <t>2026-04-21</t>
        </is>
      </c>
      <c r="B105" s="11" t="inlineStr">
        <is>
          <t>Anthropic</t>
        </is>
      </c>
      <c r="C105" s="11" t="inlineStr">
        <is>
          <t>Auto recharge extra usage, Individual plan</t>
        </is>
      </c>
      <c r="D105" s="12" t="n">
        <v>10.02</v>
      </c>
      <c r="E105" s="13" t="n">
        <v>29.95</v>
      </c>
      <c r="F105" s="10" t="inlineStr">
        <is>
          <t>אפריל 2026</t>
        </is>
      </c>
    </row>
    <row r="106">
      <c r="A106" s="14" t="inlineStr">
        <is>
          <t>2026-04-21</t>
        </is>
      </c>
      <c r="B106" s="15" t="inlineStr">
        <is>
          <t>Anthropic</t>
        </is>
      </c>
      <c r="C106" s="15" t="inlineStr">
        <is>
          <t>Auto recharge extra usage, Individual plan</t>
        </is>
      </c>
      <c r="D106" s="16" t="n">
        <v>10.5</v>
      </c>
      <c r="E106" s="17" t="n">
        <v>31.38</v>
      </c>
      <c r="F106" s="14" t="inlineStr">
        <is>
          <t>אפריל 2026</t>
        </is>
      </c>
    </row>
    <row r="107">
      <c r="A107" s="10" t="inlineStr">
        <is>
          <t>2026-04-21</t>
        </is>
      </c>
      <c r="B107" s="11" t="inlineStr">
        <is>
          <t>Anthropic</t>
        </is>
      </c>
      <c r="C107" s="11" t="inlineStr">
        <is>
          <t>Auto recharge extra usage, Individual plan</t>
        </is>
      </c>
      <c r="D107" s="12" t="n">
        <v>11.17</v>
      </c>
      <c r="E107" s="13" t="n">
        <v>33.39</v>
      </c>
      <c r="F107" s="10" t="inlineStr">
        <is>
          <t>אפריל 2026</t>
        </is>
      </c>
    </row>
    <row r="108">
      <c r="A108" s="14" t="inlineStr">
        <is>
          <t>2026-04-21</t>
        </is>
      </c>
      <c r="B108" s="15" t="inlineStr">
        <is>
          <t>Supabase</t>
        </is>
      </c>
      <c r="C108" s="15" t="inlineStr">
        <is>
          <t>Supabase</t>
        </is>
      </c>
      <c r="D108" s="16" t="n">
        <v>25</v>
      </c>
      <c r="E108" s="17" t="n">
        <v>74.72</v>
      </c>
      <c r="F108" s="14" t="inlineStr">
        <is>
          <t>אפריל 2026</t>
        </is>
      </c>
    </row>
    <row r="109">
      <c r="A109" s="10" t="inlineStr">
        <is>
          <t>2026-04-22</t>
        </is>
      </c>
      <c r="B109" s="11" t="inlineStr">
        <is>
          <t>Anthropic</t>
        </is>
      </c>
      <c r="C109" s="11" t="inlineStr">
        <is>
          <t>Auto recharge extra usage, Individual plan</t>
        </is>
      </c>
      <c r="D109" s="12" t="n">
        <v>15.57</v>
      </c>
      <c r="E109" s="13" t="n">
        <v>46.79</v>
      </c>
      <c r="F109" s="10" t="inlineStr">
        <is>
          <t>אפריל 2026</t>
        </is>
      </c>
    </row>
    <row r="110">
      <c r="A110" s="14" t="inlineStr">
        <is>
          <t>2026-04-22</t>
        </is>
      </c>
      <c r="B110" s="15" t="inlineStr">
        <is>
          <t>Anthropic</t>
        </is>
      </c>
      <c r="C110" s="15" t="inlineStr">
        <is>
          <t>Auto recharge extra usage, Individual plan</t>
        </is>
      </c>
      <c r="D110" s="16" t="n">
        <v>10.74</v>
      </c>
      <c r="E110" s="17" t="n">
        <v>32.27</v>
      </c>
      <c r="F110" s="14" t="inlineStr">
        <is>
          <t>אפריל 2026</t>
        </is>
      </c>
    </row>
    <row r="111">
      <c r="A111" s="10" t="inlineStr">
        <is>
          <t>2026-04-23</t>
        </is>
      </c>
      <c r="B111" s="11" t="inlineStr">
        <is>
          <t>Anthropic</t>
        </is>
      </c>
      <c r="C111" s="11" t="inlineStr">
        <is>
          <t>Auto recharge extra usage, Individual plan</t>
        </is>
      </c>
      <c r="D111" s="12" t="n">
        <v>10.16</v>
      </c>
      <c r="E111" s="13" t="n">
        <v>30.47</v>
      </c>
      <c r="F111" s="10" t="inlineStr">
        <is>
          <t>אפריל 2026</t>
        </is>
      </c>
    </row>
    <row r="112">
      <c r="A112" s="14" t="inlineStr">
        <is>
          <t>2026-04-26</t>
        </is>
      </c>
      <c r="B112" s="15" t="inlineStr">
        <is>
          <t>Lovable</t>
        </is>
      </c>
      <c r="C112" s="15" t="inlineStr">
        <is>
          <t>Lovable</t>
        </is>
      </c>
      <c r="D112" s="16" t="n">
        <v>5</v>
      </c>
      <c r="E112" s="17" t="n">
        <v>14.93</v>
      </c>
      <c r="F112" s="14" t="inlineStr">
        <is>
          <t>אפריל 2026</t>
        </is>
      </c>
    </row>
    <row r="113">
      <c r="A113" s="10" t="inlineStr">
        <is>
          <t>2026-04-26</t>
        </is>
      </c>
      <c r="B113" s="11" t="inlineStr">
        <is>
          <t>Meta (Ads)</t>
        </is>
      </c>
      <c r="C113" s="11" t="inlineStr">
        <is>
          <t>Facebook Ads</t>
        </is>
      </c>
      <c r="D113" s="12" t="n">
        <v>51</v>
      </c>
      <c r="E113" s="13" t="n">
        <v>152.29</v>
      </c>
      <c r="F113" s="10" t="inlineStr">
        <is>
          <t>אפריל 2026</t>
        </is>
      </c>
    </row>
    <row r="114">
      <c r="A114" s="14" t="inlineStr">
        <is>
          <t>2026-04-27</t>
        </is>
      </c>
      <c r="B114" s="15" t="inlineStr">
        <is>
          <t>Higgsfield</t>
        </is>
      </c>
      <c r="C114" s="15" t="inlineStr">
        <is>
          <t>Credit Package</t>
        </is>
      </c>
      <c r="D114" s="16" t="n">
        <v>40.83052</v>
      </c>
      <c r="E114" s="17" t="n">
        <v>120.94</v>
      </c>
      <c r="F114" s="14" t="inlineStr">
        <is>
          <t>אפריל 2026</t>
        </is>
      </c>
    </row>
    <row r="115">
      <c r="A115" s="10" t="inlineStr">
        <is>
          <t>2026-04-28</t>
        </is>
      </c>
      <c r="B115" s="11" t="inlineStr">
        <is>
          <t>Anthropic</t>
        </is>
      </c>
      <c r="C115" s="11" t="inlineStr">
        <is>
          <t>Auto recharge extra usage, Individual plan</t>
        </is>
      </c>
      <c r="D115" s="12" t="n">
        <v>10.56</v>
      </c>
      <c r="E115" s="13" t="n">
        <v>31.42</v>
      </c>
      <c r="F115" s="10" t="inlineStr">
        <is>
          <t>אפריל 2026</t>
        </is>
      </c>
    </row>
    <row r="116">
      <c r="A116" s="14" t="inlineStr">
        <is>
          <t>2026-05-01</t>
        </is>
      </c>
      <c r="B116" s="15" t="inlineStr">
        <is>
          <t>Anthropic</t>
        </is>
      </c>
      <c r="C116" s="15" t="inlineStr">
        <is>
          <t>Auto recharge extra usage, Individual plan</t>
        </is>
      </c>
      <c r="D116" s="16" t="n">
        <v>10.367995</v>
      </c>
      <c r="E116" s="17" t="n">
        <v>30.71</v>
      </c>
      <c r="F116" s="14" t="inlineStr">
        <is>
          <t>מאי 2026</t>
        </is>
      </c>
    </row>
    <row r="117">
      <c r="A117" s="10" t="inlineStr">
        <is>
          <t>2026-05-01</t>
        </is>
      </c>
      <c r="B117" s="11" t="inlineStr">
        <is>
          <t>Anthropic</t>
        </is>
      </c>
      <c r="C117" s="11" t="inlineStr">
        <is>
          <t>Auto recharge extra usage, Individual plan</t>
        </is>
      </c>
      <c r="D117" s="12" t="n">
        <v>10.806887</v>
      </c>
      <c r="E117" s="13" t="n">
        <v>32.01</v>
      </c>
      <c r="F117" s="10" t="inlineStr">
        <is>
          <t>מאי 2026</t>
        </is>
      </c>
    </row>
    <row r="118">
      <c r="A118" s="14" t="inlineStr">
        <is>
          <t>2026-05-01</t>
        </is>
      </c>
      <c r="B118" s="15" t="inlineStr">
        <is>
          <t>Anthropic</t>
        </is>
      </c>
      <c r="C118" s="15" t="inlineStr">
        <is>
          <t>Auto recharge extra usage, Individual plan</t>
        </is>
      </c>
      <c r="D118" s="16" t="n">
        <v>10.786631</v>
      </c>
      <c r="E118" s="17" t="n">
        <v>31.95</v>
      </c>
      <c r="F118" s="14" t="inlineStr">
        <is>
          <t>מאי 2026</t>
        </is>
      </c>
    </row>
    <row r="119">
      <c r="A119" s="10" t="inlineStr">
        <is>
          <t>2026-05-01</t>
        </is>
      </c>
      <c r="B119" s="11" t="inlineStr">
        <is>
          <t>Google Cloud</t>
        </is>
      </c>
      <c r="C119" s="11" t="inlineStr">
        <is>
          <t>Google Cloud Platform &amp; APIs (₪8.23)</t>
        </is>
      </c>
      <c r="D119" s="12" t="n">
        <v>2.778528</v>
      </c>
      <c r="E119" s="13" t="n">
        <v>8.23</v>
      </c>
      <c r="F119" s="10" t="inlineStr">
        <is>
          <t>מאי 2026</t>
        </is>
      </c>
    </row>
    <row r="120">
      <c r="A120" s="14" t="inlineStr">
        <is>
          <t>2026-05-01</t>
        </is>
      </c>
      <c r="B120" s="15" t="inlineStr">
        <is>
          <t>Google Workspace</t>
        </is>
      </c>
      <c r="C120" s="15" t="inlineStr">
        <is>
          <t>Google Workspace (₪75.90)</t>
        </is>
      </c>
      <c r="D120" s="16" t="n">
        <v>25.624578</v>
      </c>
      <c r="E120" s="17" t="n">
        <v>75.90000000000001</v>
      </c>
      <c r="F120" s="14" t="inlineStr">
        <is>
          <t>מאי 2026</t>
        </is>
      </c>
    </row>
    <row r="121">
      <c r="A121" s="10" t="inlineStr">
        <is>
          <t>2026-05-02</t>
        </is>
      </c>
      <c r="B121" s="11" t="inlineStr">
        <is>
          <t>Anthropic</t>
        </is>
      </c>
      <c r="C121" s="11" t="inlineStr">
        <is>
          <t>Prepaid extra usage, Individual plan</t>
        </is>
      </c>
      <c r="D121" s="12" t="n">
        <v>4.976367</v>
      </c>
      <c r="E121" s="13" t="n">
        <v>14.74</v>
      </c>
      <c r="F121" s="10" t="inlineStr">
        <is>
          <t>מאי 2026</t>
        </is>
      </c>
    </row>
    <row r="122">
      <c r="A122" s="14" t="inlineStr">
        <is>
          <t>2026-05-03</t>
        </is>
      </c>
      <c r="B122" s="15" t="inlineStr">
        <is>
          <t>Anthropic</t>
        </is>
      </c>
      <c r="C122" s="15" t="inlineStr">
        <is>
          <t>Auto recharge extra usage, Individual plan</t>
        </is>
      </c>
      <c r="D122" s="16" t="n">
        <v>15.256583</v>
      </c>
      <c r="E122" s="17" t="n">
        <v>45.19</v>
      </c>
      <c r="F122" s="14" t="inlineStr">
        <is>
          <t>מאי 2026</t>
        </is>
      </c>
    </row>
    <row r="123">
      <c r="A123" s="10" t="inlineStr">
        <is>
          <t>2026-05-03</t>
        </is>
      </c>
      <c r="B123" s="11" t="inlineStr">
        <is>
          <t>Meta (Ads)</t>
        </is>
      </c>
      <c r="C123" s="11" t="inlineStr">
        <is>
          <t>Facebook Ads</t>
        </is>
      </c>
      <c r="D123" s="12" t="n">
        <v>27.150574</v>
      </c>
      <c r="E123" s="13" t="n">
        <v>80.42</v>
      </c>
      <c r="F123" s="10" t="inlineStr">
        <is>
          <t>מאי 2026</t>
        </is>
      </c>
    </row>
    <row r="124">
      <c r="A124" s="14" t="inlineStr">
        <is>
          <t>2026-05-04</t>
        </is>
      </c>
      <c r="B124" s="15" t="inlineStr">
        <is>
          <t>Anthropic</t>
        </is>
      </c>
      <c r="C124" s="15" t="inlineStr">
        <is>
          <t>Auto recharge extra usage, Individual plan</t>
        </is>
      </c>
      <c r="D124" s="16" t="n">
        <v>15.290344</v>
      </c>
      <c r="E124" s="17" t="n">
        <v>45.29</v>
      </c>
      <c r="F124" s="14" t="inlineStr">
        <is>
          <t>מאי 2026</t>
        </is>
      </c>
    </row>
    <row r="125">
      <c r="A125" s="10" t="inlineStr">
        <is>
          <t>2026-05-04</t>
        </is>
      </c>
      <c r="B125" s="11" t="inlineStr">
        <is>
          <t>Eleven Labs</t>
        </is>
      </c>
      <c r="C125" s="11" t="inlineStr">
        <is>
          <t>Creator monthly</t>
        </is>
      </c>
      <c r="D125" s="12" t="n">
        <v>21.863606</v>
      </c>
      <c r="E125" s="13" t="n">
        <v>64.76000000000001</v>
      </c>
      <c r="F125" s="10" t="inlineStr">
        <is>
          <t>מאי 2026</t>
        </is>
      </c>
    </row>
    <row r="126">
      <c r="A126" s="14" t="inlineStr">
        <is>
          <t>2026-05-16</t>
        </is>
      </c>
      <c r="B126" s="15" t="inlineStr">
        <is>
          <t>OpenAI</t>
        </is>
      </c>
      <c r="C126" s="15" t="inlineStr">
        <is>
          <t>ChatGPT Plus</t>
        </is>
      </c>
      <c r="D126" s="16" t="n">
        <v>20</v>
      </c>
      <c r="E126" s="17" t="n">
        <v>73</v>
      </c>
      <c r="F126" s="14" t="inlineStr">
        <is>
          <t>מאי 2026</t>
        </is>
      </c>
    </row>
    <row r="127">
      <c r="A127" s="10" t="inlineStr">
        <is>
          <t>2026-06-16</t>
        </is>
      </c>
      <c r="B127" s="11" t="inlineStr">
        <is>
          <t>OpenAI</t>
        </is>
      </c>
      <c r="C127" s="11" t="inlineStr">
        <is>
          <t>ChatGPT Plus</t>
        </is>
      </c>
      <c r="D127" s="12" t="n">
        <v>20</v>
      </c>
      <c r="E127" s="13" t="n">
        <v>73</v>
      </c>
      <c r="F127" s="10" t="inlineStr">
        <is>
          <t>יוני 2026</t>
        </is>
      </c>
    </row>
    <row r="128">
      <c r="A128" s="14" t="inlineStr">
        <is>
          <t>2026-07-16</t>
        </is>
      </c>
      <c r="B128" s="15" t="inlineStr">
        <is>
          <t>OpenAI</t>
        </is>
      </c>
      <c r="C128" s="15" t="inlineStr">
        <is>
          <t>ChatGPT Plus</t>
        </is>
      </c>
      <c r="D128" s="16" t="n">
        <v>20</v>
      </c>
      <c r="E128" s="17" t="n">
        <v>73</v>
      </c>
      <c r="F128" s="14" t="inlineStr">
        <is>
          <t>יולי 2026</t>
        </is>
      </c>
    </row>
    <row r="129">
      <c r="A129" s="10" t="inlineStr">
        <is>
          <t>2026-08-16</t>
        </is>
      </c>
      <c r="B129" s="11" t="inlineStr">
        <is>
          <t>OpenAI</t>
        </is>
      </c>
      <c r="C129" s="11" t="inlineStr">
        <is>
          <t>ChatGPT Plus</t>
        </is>
      </c>
      <c r="D129" s="12" t="n">
        <v>20</v>
      </c>
      <c r="E129" s="13" t="n">
        <v>73</v>
      </c>
      <c r="F129" s="10" t="inlineStr">
        <is>
          <t>אוגוסט 2026</t>
        </is>
      </c>
    </row>
    <row r="130">
      <c r="A130" s="14" t="inlineStr">
        <is>
          <t>2026-09-16</t>
        </is>
      </c>
      <c r="B130" s="15" t="inlineStr">
        <is>
          <t>OpenAI</t>
        </is>
      </c>
      <c r="C130" s="15" t="inlineStr">
        <is>
          <t>ChatGPT Plus</t>
        </is>
      </c>
      <c r="D130" s="16" t="n">
        <v>20</v>
      </c>
      <c r="E130" s="17" t="n">
        <v>73</v>
      </c>
      <c r="F130" s="14" t="inlineStr">
        <is>
          <t>ספטמבר 2026</t>
        </is>
      </c>
    </row>
    <row r="131">
      <c r="A131" s="10" t="inlineStr">
        <is>
          <t>2026-10-16</t>
        </is>
      </c>
      <c r="B131" s="11" t="inlineStr">
        <is>
          <t>OpenAI</t>
        </is>
      </c>
      <c r="C131" s="11" t="inlineStr">
        <is>
          <t>ChatGPT Plus</t>
        </is>
      </c>
      <c r="D131" s="12" t="n">
        <v>20</v>
      </c>
      <c r="E131" s="13" t="n">
        <v>73</v>
      </c>
      <c r="F131" s="10" t="inlineStr">
        <is>
          <t>אוקטובר 2026</t>
        </is>
      </c>
    </row>
    <row r="132">
      <c r="A132" s="14" t="inlineStr">
        <is>
          <t>2026-11-16</t>
        </is>
      </c>
      <c r="B132" s="15" t="inlineStr">
        <is>
          <t>OpenAI</t>
        </is>
      </c>
      <c r="C132" s="15" t="inlineStr">
        <is>
          <t>ChatGPT Plus</t>
        </is>
      </c>
      <c r="D132" s="16" t="n">
        <v>20</v>
      </c>
      <c r="E132" s="17" t="n">
        <v>73</v>
      </c>
      <c r="F132" s="14" t="inlineStr">
        <is>
          <t>נובמבר 2026</t>
        </is>
      </c>
    </row>
    <row r="133">
      <c r="A133" s="10" t="inlineStr">
        <is>
          <t>2026-12-16</t>
        </is>
      </c>
      <c r="B133" s="11" t="inlineStr">
        <is>
          <t>OpenAI</t>
        </is>
      </c>
      <c r="C133" s="11" t="inlineStr">
        <is>
          <t>ChatGPT Plus</t>
        </is>
      </c>
      <c r="D133" s="12" t="n">
        <v>20</v>
      </c>
      <c r="E133" s="13" t="n">
        <v>73</v>
      </c>
      <c r="F133" s="10" t="inlineStr">
        <is>
          <t>דצמבר 2026</t>
        </is>
      </c>
    </row>
    <row r="134">
      <c r="A134" s="18" t="inlineStr">
        <is>
          <t>סה"כ"</t>
        </is>
      </c>
      <c r="B134" s="19" t="n"/>
      <c r="C134" s="19" t="n"/>
      <c r="D134" s="20">
        <f>SUM(D3:D133)</f>
        <v/>
      </c>
      <c r="E134" s="21">
        <f>SUM(E3:E133)</f>
        <v/>
      </c>
      <c r="F134" s="19" t="n"/>
    </row>
  </sheetData>
  <mergeCells count="2">
    <mergeCell ref="A134:C13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DC3E6"/>
    <outlinePr summaryBelow="1" summaryRight="1"/>
    <pageSetUpPr/>
  </sheetPr>
  <dimension ref="A1:F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יולי 2025  |  July 2025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2025-07-04</t>
        </is>
      </c>
      <c r="B4" s="15" t="inlineStr">
        <is>
          <t>Recraft</t>
        </is>
      </c>
      <c r="C4" s="15" t="inlineStr">
        <is>
          <t>Basic – first month promo</t>
        </is>
      </c>
      <c r="D4" s="25" t="n">
        <v>1.127616</v>
      </c>
      <c r="E4" s="26" t="n">
        <v>3.34</v>
      </c>
      <c r="F4" s="24" t="n"/>
    </row>
    <row r="5">
      <c r="A5" s="10" t="inlineStr">
        <is>
          <t>2025-07-09</t>
        </is>
      </c>
      <c r="B5" s="11" t="inlineStr">
        <is>
          <t>Ideogram AI</t>
        </is>
      </c>
      <c r="C5" s="11" t="inlineStr">
        <is>
          <t>Ideogram Basic – annual</t>
        </is>
      </c>
      <c r="D5" s="27" t="n">
        <v>81.390952</v>
      </c>
      <c r="E5" s="28" t="n">
        <v>241.08</v>
      </c>
      <c r="F5" s="29" t="n"/>
    </row>
    <row r="6">
      <c r="A6" s="14" t="inlineStr">
        <is>
          <t>2025-07-10</t>
        </is>
      </c>
      <c r="B6" s="15" t="inlineStr">
        <is>
          <t>Make</t>
        </is>
      </c>
      <c r="C6" s="15" t="inlineStr">
        <is>
          <t>Core plan 10k ops/month</t>
        </is>
      </c>
      <c r="D6" s="25" t="n">
        <v>11.829845</v>
      </c>
      <c r="E6" s="26" t="n">
        <v>35.04</v>
      </c>
      <c r="F6" s="24" t="n"/>
    </row>
    <row r="7">
      <c r="A7" s="10" t="inlineStr">
        <is>
          <t>2025-07-11</t>
        </is>
      </c>
      <c r="B7" s="11" t="inlineStr">
        <is>
          <t>Anthropic</t>
        </is>
      </c>
      <c r="C7" s="11" t="inlineStr">
        <is>
          <t>Claude Pro</t>
        </is>
      </c>
      <c r="D7" s="27" t="n">
        <v>22.383525</v>
      </c>
      <c r="E7" s="28" t="n">
        <v>66.3</v>
      </c>
      <c r="F7" s="29" t="n"/>
    </row>
    <row r="8">
      <c r="A8" s="14" t="inlineStr">
        <is>
          <t>2025-07-16</t>
        </is>
      </c>
      <c r="B8" s="15" t="inlineStr">
        <is>
          <t>OpenAI</t>
        </is>
      </c>
      <c r="C8" s="15" t="inlineStr">
        <is>
          <t>ChatGPT Plus</t>
        </is>
      </c>
      <c r="D8" s="25" t="n">
        <v>20</v>
      </c>
      <c r="E8" s="26" t="n">
        <v>67.31</v>
      </c>
      <c r="F8" s="24" t="n"/>
    </row>
    <row r="9">
      <c r="A9" s="10" t="inlineStr">
        <is>
          <t>2025-07-20</t>
        </is>
      </c>
      <c r="B9" s="11" t="inlineStr">
        <is>
          <t>Runway ML</t>
        </is>
      </c>
      <c r="C9" s="11" t="inlineStr">
        <is>
          <t>Standard (10% affiliate off)</t>
        </is>
      </c>
      <c r="D9" s="27" t="n">
        <v>15.303849</v>
      </c>
      <c r="E9" s="28" t="n">
        <v>45.33</v>
      </c>
      <c r="F9" s="29" t="n"/>
    </row>
    <row r="10">
      <c r="A10" s="14" t="inlineStr">
        <is>
          <t>2025-07-30</t>
        </is>
      </c>
      <c r="B10" s="15" t="inlineStr">
        <is>
          <t>Ideogram AI</t>
        </is>
      </c>
      <c r="C10" s="15" t="inlineStr">
        <is>
          <t>Upgrade -&gt; Plus Annual</t>
        </is>
      </c>
      <c r="D10" s="25" t="n">
        <v>128.582039</v>
      </c>
      <c r="E10" s="26" t="n">
        <v>380.86</v>
      </c>
      <c r="F10" s="24" t="n"/>
    </row>
    <row r="11">
      <c r="A11" s="10" t="inlineStr">
        <is>
          <t>2025-07-30</t>
        </is>
      </c>
      <c r="B11" s="11" t="inlineStr">
        <is>
          <t>Replicate</t>
        </is>
      </c>
      <c r="C11" s="11" t="inlineStr">
        <is>
          <t>Early card charge</t>
        </is>
      </c>
      <c r="D11" s="27" t="n">
        <v>11.363943</v>
      </c>
      <c r="E11" s="28" t="n">
        <v>33.66</v>
      </c>
      <c r="F11" s="29" t="n"/>
    </row>
    <row r="12" ht="24" customHeight="1">
      <c r="A12" s="30" t="inlineStr">
        <is>
          <t>סה"כ חודש"</t>
        </is>
      </c>
      <c r="B12" s="31" t="n"/>
      <c r="C12" s="31" t="n"/>
      <c r="D12" s="20">
        <f>SUM(D4:D11)</f>
        <v/>
      </c>
      <c r="E12" s="21">
        <f>SUM(E4:E11)</f>
        <v/>
      </c>
      <c r="F12" s="31" t="n"/>
    </row>
  </sheetData>
  <mergeCells count="2">
    <mergeCell ref="A12:C12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DC3E6"/>
    <outlinePr summaryBelow="1" summaryRight="1"/>
    <pageSetUpPr/>
  </sheetPr>
  <dimension ref="A1:F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אוגוסט 2025  |  August 2025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2025-08-01</t>
        </is>
      </c>
      <c r="B4" s="15" t="inlineStr">
        <is>
          <t>Google Workspace</t>
        </is>
      </c>
      <c r="C4" s="15" t="inlineStr">
        <is>
          <t>Business Plus – Jul 2025 (₪56.93)</t>
        </is>
      </c>
      <c r="D4" s="25" t="n">
        <v>19.220122</v>
      </c>
      <c r="E4" s="26" t="n">
        <v>56.93</v>
      </c>
      <c r="F4" s="24" t="n"/>
    </row>
    <row r="5">
      <c r="A5" s="10" t="inlineStr">
        <is>
          <t>2025-08-02</t>
        </is>
      </c>
      <c r="B5" s="11" t="inlineStr">
        <is>
          <t>Runway ML</t>
        </is>
      </c>
      <c r="C5" s="11" t="inlineStr">
        <is>
          <t>Credits 1,500</t>
        </is>
      </c>
      <c r="D5" s="27" t="n">
        <v>17.282242</v>
      </c>
      <c r="E5" s="28" t="n">
        <v>51.19</v>
      </c>
      <c r="F5" s="29" t="n"/>
    </row>
    <row r="6">
      <c r="A6" s="14" t="inlineStr">
        <is>
          <t>2025-08-04</t>
        </is>
      </c>
      <c r="B6" s="15" t="inlineStr">
        <is>
          <t>Recraft</t>
        </is>
      </c>
      <c r="C6" s="15" t="inlineStr">
        <is>
          <t>Basic monthly</t>
        </is>
      </c>
      <c r="D6" s="25" t="n">
        <v>13.81499</v>
      </c>
      <c r="E6" s="26" t="n">
        <v>40.92</v>
      </c>
      <c r="F6" s="24" t="n"/>
    </row>
    <row r="7">
      <c r="A7" s="10" t="inlineStr">
        <is>
          <t>2025-08-05</t>
        </is>
      </c>
      <c r="B7" s="11" t="inlineStr">
        <is>
          <t>Replicate</t>
        </is>
      </c>
      <c r="C7" s="11" t="inlineStr">
        <is>
          <t>Usage - July</t>
        </is>
      </c>
      <c r="D7" s="27" t="n">
        <v>1.039838</v>
      </c>
      <c r="E7" s="28" t="n">
        <v>3.08</v>
      </c>
      <c r="F7" s="29" t="n"/>
    </row>
    <row r="8">
      <c r="A8" s="14" t="inlineStr">
        <is>
          <t>2025-08-09</t>
        </is>
      </c>
      <c r="B8" s="15" t="inlineStr">
        <is>
          <t>Manus AI</t>
        </is>
      </c>
      <c r="C8" s="15" t="inlineStr">
        <is>
          <t>Basic monthly</t>
        </is>
      </c>
      <c r="D8" s="25" t="n">
        <v>22.025658</v>
      </c>
      <c r="E8" s="26" t="n">
        <v>65.23999999999999</v>
      </c>
      <c r="F8" s="24" t="n"/>
    </row>
    <row r="9">
      <c r="A9" s="10" t="inlineStr">
        <is>
          <t>2025-08-10</t>
        </is>
      </c>
      <c r="B9" s="11" t="inlineStr">
        <is>
          <t>Make</t>
        </is>
      </c>
      <c r="C9" s="11" t="inlineStr">
        <is>
          <t>Core plan 10k ops/month</t>
        </is>
      </c>
      <c r="D9" s="27" t="n">
        <v>12.27549</v>
      </c>
      <c r="E9" s="28" t="n">
        <v>36.36</v>
      </c>
      <c r="F9" s="29" t="n"/>
    </row>
    <row r="10">
      <c r="A10" s="14" t="inlineStr">
        <is>
          <t>2025-08-11</t>
        </is>
      </c>
      <c r="B10" s="15" t="inlineStr">
        <is>
          <t>Anthropic</t>
        </is>
      </c>
      <c r="C10" s="15" t="inlineStr">
        <is>
          <t>Claude Pro</t>
        </is>
      </c>
      <c r="D10" s="25" t="n">
        <v>23.102633</v>
      </c>
      <c r="E10" s="26" t="n">
        <v>68.43000000000001</v>
      </c>
      <c r="F10" s="24" t="n"/>
    </row>
    <row r="11">
      <c r="A11" s="10" t="inlineStr">
        <is>
          <t>2025-08-16</t>
        </is>
      </c>
      <c r="B11" s="11" t="inlineStr">
        <is>
          <t>OpenAI</t>
        </is>
      </c>
      <c r="C11" s="11" t="inlineStr">
        <is>
          <t>ChatGPT Plus</t>
        </is>
      </c>
      <c r="D11" s="27" t="n">
        <v>20</v>
      </c>
      <c r="E11" s="28" t="n">
        <v>67.54000000000001</v>
      </c>
      <c r="F11" s="29" t="n"/>
    </row>
    <row r="12">
      <c r="A12" s="14" t="inlineStr">
        <is>
          <t>2025-08-30</t>
        </is>
      </c>
      <c r="B12" s="15" t="inlineStr">
        <is>
          <t>Eleven Labs</t>
        </is>
      </c>
      <c r="C12" s="15" t="inlineStr">
        <is>
          <t>Starter monthly</t>
        </is>
      </c>
      <c r="D12" s="25" t="n">
        <v>5.641458</v>
      </c>
      <c r="E12" s="26" t="n">
        <v>16.71</v>
      </c>
      <c r="F12" s="24" t="n"/>
    </row>
    <row r="13">
      <c r="A13" s="10" t="inlineStr">
        <is>
          <t>2025-08-30</t>
        </is>
      </c>
      <c r="B13" s="11" t="inlineStr">
        <is>
          <t>Runway ML</t>
        </is>
      </c>
      <c r="C13" s="11" t="inlineStr">
        <is>
          <t>Standard (25% off)</t>
        </is>
      </c>
      <c r="D13" s="27" t="n">
        <v>12.694126</v>
      </c>
      <c r="E13" s="28" t="n">
        <v>37.6</v>
      </c>
      <c r="F13" s="29" t="n"/>
    </row>
    <row r="14" ht="24" customHeight="1">
      <c r="A14" s="30" t="inlineStr">
        <is>
          <t>סה"כ חודש"</t>
        </is>
      </c>
      <c r="B14" s="31" t="n"/>
      <c r="C14" s="31" t="n"/>
      <c r="D14" s="20">
        <f>SUM(D4:D13)</f>
        <v/>
      </c>
      <c r="E14" s="21">
        <f>SUM(E4:E13)</f>
        <v/>
      </c>
      <c r="F14" s="31" t="n"/>
    </row>
  </sheetData>
  <mergeCells count="2">
    <mergeCell ref="A14:C14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DC3E6"/>
    <outlinePr summaryBelow="1" summaryRight="1"/>
    <pageSetUpPr/>
  </sheetPr>
  <dimension ref="A1:F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ספטמבר 2025  |  September 2025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2025-09-01</t>
        </is>
      </c>
      <c r="B4" s="15" t="inlineStr">
        <is>
          <t>Google Workspace</t>
        </is>
      </c>
      <c r="C4" s="15" t="inlineStr">
        <is>
          <t>Business Plus – Aug 2025 (₪56.93)</t>
        </is>
      </c>
      <c r="D4" s="25" t="n">
        <v>19.220122</v>
      </c>
      <c r="E4" s="26" t="n">
        <v>56.93</v>
      </c>
      <c r="F4" s="24" t="n"/>
    </row>
    <row r="5">
      <c r="A5" s="10" t="inlineStr">
        <is>
          <t>2025-09-05</t>
        </is>
      </c>
      <c r="B5" s="11" t="inlineStr">
        <is>
          <t>Replicate</t>
        </is>
      </c>
      <c r="C5" s="11" t="inlineStr">
        <is>
          <t>Usage - August</t>
        </is>
      </c>
      <c r="D5" s="27" t="n">
        <v>3.153275</v>
      </c>
      <c r="E5" s="28" t="n">
        <v>9.34</v>
      </c>
      <c r="F5" s="29" t="n"/>
    </row>
    <row r="6">
      <c r="A6" s="14" t="inlineStr">
        <is>
          <t>2025-09-10</t>
        </is>
      </c>
      <c r="B6" s="15" t="inlineStr">
        <is>
          <t>Make</t>
        </is>
      </c>
      <c r="C6" s="15" t="inlineStr">
        <is>
          <t>Core plan 10k ops/month</t>
        </is>
      </c>
      <c r="D6" s="25" t="n">
        <v>11.95476</v>
      </c>
      <c r="E6" s="26" t="n">
        <v>35.41</v>
      </c>
      <c r="F6" s="24" t="n"/>
    </row>
    <row r="7">
      <c r="A7" s="10" t="inlineStr">
        <is>
          <t>2025-09-16</t>
        </is>
      </c>
      <c r="B7" s="11" t="inlineStr">
        <is>
          <t>OpenAI</t>
        </is>
      </c>
      <c r="C7" s="11" t="inlineStr">
        <is>
          <t>ChatGPT Plus</t>
        </is>
      </c>
      <c r="D7" s="27" t="n">
        <v>20</v>
      </c>
      <c r="E7" s="28" t="n">
        <v>67.01000000000001</v>
      </c>
      <c r="F7" s="29" t="n"/>
    </row>
    <row r="8">
      <c r="A8" s="14" t="inlineStr">
        <is>
          <t>2025-09-24</t>
        </is>
      </c>
      <c r="B8" s="15" t="inlineStr">
        <is>
          <t>Anthropic</t>
        </is>
      </c>
      <c r="C8" s="15" t="inlineStr">
        <is>
          <t>Claude Pro</t>
        </is>
      </c>
      <c r="D8" s="25" t="n">
        <v>22.572586</v>
      </c>
      <c r="E8" s="26" t="n">
        <v>66.86</v>
      </c>
      <c r="F8" s="24" t="n"/>
    </row>
    <row r="9">
      <c r="A9" s="10" t="inlineStr">
        <is>
          <t>2025-09-30</t>
        </is>
      </c>
      <c r="B9" s="11" t="inlineStr">
        <is>
          <t>Eleven Labs</t>
        </is>
      </c>
      <c r="C9" s="11" t="inlineStr">
        <is>
          <t>Starter monthly</t>
        </is>
      </c>
      <c r="D9" s="27" t="n">
        <v>5.573937</v>
      </c>
      <c r="E9" s="28" t="n">
        <v>16.51</v>
      </c>
      <c r="F9" s="29" t="n"/>
    </row>
    <row r="10" ht="24" customHeight="1">
      <c r="A10" s="30" t="inlineStr">
        <is>
          <t>סה"כ חודש"</t>
        </is>
      </c>
      <c r="B10" s="31" t="n"/>
      <c r="C10" s="31" t="n"/>
      <c r="D10" s="20">
        <f>SUM(D4:D9)</f>
        <v/>
      </c>
      <c r="E10" s="21">
        <f>SUM(E4:E9)</f>
        <v/>
      </c>
      <c r="F10" s="31" t="n"/>
    </row>
  </sheetData>
  <mergeCells count="2">
    <mergeCell ref="A10:C10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DC3E6"/>
    <outlinePr summaryBelow="1" summaryRight="1"/>
    <pageSetUpPr/>
  </sheetPr>
  <dimension ref="A1:F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אוקטובר 2025  |  October 2025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2025-10-02</t>
        </is>
      </c>
      <c r="B4" s="15" t="inlineStr">
        <is>
          <t>Google Workspace</t>
        </is>
      </c>
      <c r="C4" s="15" t="inlineStr">
        <is>
          <t>Business Plus – Sep 2025 (₪56.93)</t>
        </is>
      </c>
      <c r="D4" s="25" t="n">
        <v>19.220122</v>
      </c>
      <c r="E4" s="26" t="n">
        <v>56.93</v>
      </c>
      <c r="F4" s="24" t="n"/>
    </row>
    <row r="5">
      <c r="A5" s="10" t="inlineStr">
        <is>
          <t>2025-10-16</t>
        </is>
      </c>
      <c r="B5" s="11" t="inlineStr">
        <is>
          <t>OpenAI</t>
        </is>
      </c>
      <c r="C5" s="11" t="inlineStr">
        <is>
          <t>ChatGPT Plus</t>
        </is>
      </c>
      <c r="D5" s="27" t="n">
        <v>20</v>
      </c>
      <c r="E5" s="28" t="n">
        <v>65.72</v>
      </c>
      <c r="F5" s="29" t="n"/>
    </row>
    <row r="6">
      <c r="A6" s="14" t="inlineStr">
        <is>
          <t>2025-10-24</t>
        </is>
      </c>
      <c r="B6" s="15" t="inlineStr">
        <is>
          <t>Anthropic</t>
        </is>
      </c>
      <c r="C6" s="15" t="inlineStr">
        <is>
          <t>Claude Pro</t>
        </is>
      </c>
      <c r="D6" s="25" t="n">
        <v>22.21472</v>
      </c>
      <c r="E6" s="26" t="n">
        <v>65.8</v>
      </c>
      <c r="F6" s="24" t="n"/>
    </row>
    <row r="7">
      <c r="A7" s="10" t="inlineStr">
        <is>
          <t>2025-10-30</t>
        </is>
      </c>
      <c r="B7" s="11" t="inlineStr">
        <is>
          <t>Eleven Labs</t>
        </is>
      </c>
      <c r="C7" s="11" t="inlineStr">
        <is>
          <t>Starter monthly</t>
        </is>
      </c>
      <c r="D7" s="27" t="n">
        <v>5.49291</v>
      </c>
      <c r="E7" s="28" t="n">
        <v>16.27</v>
      </c>
      <c r="F7" s="29" t="n"/>
    </row>
    <row r="8" ht="24" customHeight="1">
      <c r="A8" s="30" t="inlineStr">
        <is>
          <t>סה"כ חודש"</t>
        </is>
      </c>
      <c r="B8" s="31" t="n"/>
      <c r="C8" s="31" t="n"/>
      <c r="D8" s="20">
        <f>SUM(D4:D7)</f>
        <v/>
      </c>
      <c r="E8" s="21">
        <f>SUM(E4:E7)</f>
        <v/>
      </c>
      <c r="F8" s="31" t="n"/>
    </row>
  </sheetData>
  <mergeCells count="2">
    <mergeCell ref="A8:C8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DC3E6"/>
    <outlinePr summaryBelow="1" summaryRight="1"/>
    <pageSetUpPr/>
  </sheetPr>
  <dimension ref="A1:F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נובמבר 2025  |  November 2025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2025-11-09</t>
        </is>
      </c>
      <c r="B4" s="15" t="inlineStr">
        <is>
          <t>Recraft</t>
        </is>
      </c>
      <c r="C4" s="15" t="inlineStr">
        <is>
          <t>Pro 1k credits</t>
        </is>
      </c>
      <c r="D4" s="25" t="n">
        <v>13.207292</v>
      </c>
      <c r="E4" s="26" t="n">
        <v>39.12</v>
      </c>
      <c r="F4" s="24" t="n"/>
    </row>
    <row r="5">
      <c r="A5" s="10" t="inlineStr">
        <is>
          <t>2025-11-11</t>
        </is>
      </c>
      <c r="B5" s="11" t="inlineStr">
        <is>
          <t>Astria</t>
        </is>
      </c>
      <c r="C5" s="11" t="inlineStr">
        <is>
          <t>Credits x10 + 18% VAT</t>
        </is>
      </c>
      <c r="D5" s="27" t="n">
        <v>12.86293</v>
      </c>
      <c r="E5" s="28" t="n">
        <v>38.1</v>
      </c>
      <c r="F5" s="29" t="n"/>
    </row>
    <row r="6">
      <c r="A6" s="14" t="inlineStr">
        <is>
          <t>2025-11-11</t>
        </is>
      </c>
      <c r="B6" s="15" t="inlineStr">
        <is>
          <t>Runway ML</t>
        </is>
      </c>
      <c r="C6" s="15" t="inlineStr">
        <is>
          <t>Standard monthly</t>
        </is>
      </c>
      <c r="D6" s="25" t="n">
        <v>16.353815</v>
      </c>
      <c r="E6" s="26" t="n">
        <v>48.44</v>
      </c>
      <c r="F6" s="24" t="n"/>
    </row>
    <row r="7">
      <c r="A7" s="10" t="inlineStr">
        <is>
          <t>2025-11-13</t>
        </is>
      </c>
      <c r="B7" s="11" t="inlineStr">
        <is>
          <t>Hedra</t>
        </is>
      </c>
      <c r="C7" s="11" t="inlineStr">
        <is>
          <t>Extra Small Credit Pack</t>
        </is>
      </c>
      <c r="D7" s="27" t="n">
        <v>10.786631</v>
      </c>
      <c r="E7" s="28" t="n">
        <v>31.95</v>
      </c>
      <c r="F7" s="29" t="n"/>
    </row>
    <row r="8">
      <c r="A8" s="14" t="inlineStr">
        <is>
          <t>2025-11-16</t>
        </is>
      </c>
      <c r="B8" s="15" t="inlineStr">
        <is>
          <t>OpenAI</t>
        </is>
      </c>
      <c r="C8" s="15" t="inlineStr">
        <is>
          <t>ChatGPT Plus</t>
        </is>
      </c>
      <c r="D8" s="25" t="n">
        <v>20</v>
      </c>
      <c r="E8" s="26" t="n">
        <v>64.68000000000001</v>
      </c>
      <c r="F8" s="24" t="n"/>
    </row>
    <row r="9">
      <c r="A9" s="10" t="inlineStr">
        <is>
          <t>2025-11-24</t>
        </is>
      </c>
      <c r="B9" s="11" t="inlineStr">
        <is>
          <t>Anthropic</t>
        </is>
      </c>
      <c r="C9" s="11" t="inlineStr">
        <is>
          <t>Claude Pro</t>
        </is>
      </c>
      <c r="D9" s="27" t="n">
        <v>22.120189</v>
      </c>
      <c r="E9" s="28" t="n">
        <v>65.52</v>
      </c>
      <c r="F9" s="29" t="n"/>
    </row>
    <row r="10">
      <c r="A10" s="14" t="inlineStr">
        <is>
          <t>2025-11-30</t>
        </is>
      </c>
      <c r="B10" s="15" t="inlineStr">
        <is>
          <t>Eleven Labs</t>
        </is>
      </c>
      <c r="C10" s="15" t="inlineStr">
        <is>
          <t>Starter monthly</t>
        </is>
      </c>
      <c r="D10" s="25" t="n">
        <v>5.506415</v>
      </c>
      <c r="E10" s="26" t="n">
        <v>16.31</v>
      </c>
      <c r="F10" s="24" t="n"/>
    </row>
    <row r="11" ht="24" customHeight="1">
      <c r="A11" s="30" t="inlineStr">
        <is>
          <t>סה"כ חודש"</t>
        </is>
      </c>
      <c r="B11" s="31" t="n"/>
      <c r="C11" s="31" t="n"/>
      <c r="D11" s="20">
        <f>SUM(D4:D10)</f>
        <v/>
      </c>
      <c r="E11" s="21">
        <f>SUM(E4:E10)</f>
        <v/>
      </c>
      <c r="F11" s="31" t="n"/>
    </row>
  </sheetData>
  <mergeCells count="2">
    <mergeCell ref="A1:F1"/>
    <mergeCell ref="A11:C1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DC3E6"/>
    <outlinePr summaryBelow="1" summaryRight="1"/>
    <pageSetUpPr/>
  </sheetPr>
  <dimension ref="A1:F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דצמבר 2025  |  December 2025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2025-12-01</t>
        </is>
      </c>
      <c r="B4" s="15" t="inlineStr">
        <is>
          <t>Google Workspace</t>
        </is>
      </c>
      <c r="C4" s="15" t="inlineStr">
        <is>
          <t>Business Plus – Nov 2025 (₪75.90)</t>
        </is>
      </c>
      <c r="D4" s="25" t="n">
        <v>25.624578</v>
      </c>
      <c r="E4" s="26" t="n">
        <v>75.90000000000001</v>
      </c>
      <c r="F4" s="24" t="n"/>
    </row>
    <row r="5">
      <c r="A5" s="10" t="inlineStr">
        <is>
          <t>2025-12-03</t>
        </is>
      </c>
      <c r="B5" s="11" t="inlineStr">
        <is>
          <t>Manychat</t>
        </is>
      </c>
      <c r="C5" s="11" t="inlineStr">
        <is>
          <t>Pro monthly</t>
        </is>
      </c>
      <c r="D5" s="27" t="n">
        <v>16.468602</v>
      </c>
      <c r="E5" s="28" t="n">
        <v>48.78</v>
      </c>
      <c r="F5" s="29" t="n"/>
    </row>
    <row r="6">
      <c r="A6" s="14" t="inlineStr">
        <is>
          <t>2025-12-03</t>
        </is>
      </c>
      <c r="B6" s="15" t="inlineStr">
        <is>
          <t>Meta (Ads)</t>
        </is>
      </c>
      <c r="C6" s="15" t="inlineStr">
        <is>
          <t>Facebook Ads</t>
        </is>
      </c>
      <c r="D6" s="25" t="n">
        <v>10.671843</v>
      </c>
      <c r="E6" s="26" t="n">
        <v>31.61</v>
      </c>
      <c r="F6" s="24" t="n"/>
    </row>
    <row r="7">
      <c r="A7" s="10" t="inlineStr">
        <is>
          <t>2025-12-08</t>
        </is>
      </c>
      <c r="B7" s="11" t="inlineStr">
        <is>
          <t>Meta (Ads)</t>
        </is>
      </c>
      <c r="C7" s="11" t="inlineStr">
        <is>
          <t>Facebook Ads</t>
        </is>
      </c>
      <c r="D7" s="27" t="n">
        <v>32.734639</v>
      </c>
      <c r="E7" s="28" t="n">
        <v>96.95999999999999</v>
      </c>
      <c r="F7" s="29" t="n"/>
    </row>
    <row r="8">
      <c r="A8" s="14" t="inlineStr">
        <is>
          <t>2025-12-16</t>
        </is>
      </c>
      <c r="B8" s="15" t="inlineStr">
        <is>
          <t>Meta (Ads)</t>
        </is>
      </c>
      <c r="C8" s="15" t="inlineStr">
        <is>
          <t>Facebook Ads</t>
        </is>
      </c>
      <c r="D8" s="25" t="n">
        <v>35.796759</v>
      </c>
      <c r="E8" s="26" t="n">
        <v>106.03</v>
      </c>
      <c r="F8" s="24" t="n"/>
    </row>
    <row r="9">
      <c r="A9" s="10" t="inlineStr">
        <is>
          <t>2025-12-16</t>
        </is>
      </c>
      <c r="B9" s="11" t="inlineStr">
        <is>
          <t>OpenAI</t>
        </is>
      </c>
      <c r="C9" s="11" t="inlineStr">
        <is>
          <t>ChatGPT Plus</t>
        </is>
      </c>
      <c r="D9" s="27" t="n">
        <v>20</v>
      </c>
      <c r="E9" s="28" t="n">
        <v>64.26000000000001</v>
      </c>
      <c r="F9" s="29" t="n"/>
    </row>
    <row r="10">
      <c r="A10" s="14" t="inlineStr">
        <is>
          <t>2025-12-29</t>
        </is>
      </c>
      <c r="B10" s="15" t="inlineStr">
        <is>
          <t>Meta (Ads)</t>
        </is>
      </c>
      <c r="C10" s="15" t="inlineStr">
        <is>
          <t>Facebook Ads</t>
        </is>
      </c>
      <c r="D10" s="25" t="n">
        <v>38.760972</v>
      </c>
      <c r="E10" s="26" t="n">
        <v>114.81</v>
      </c>
      <c r="F10" s="24" t="n"/>
    </row>
    <row r="11">
      <c r="A11" s="10" t="inlineStr">
        <is>
          <t>2025-12-30</t>
        </is>
      </c>
      <c r="B11" s="11" t="inlineStr">
        <is>
          <t>Eleven Labs</t>
        </is>
      </c>
      <c r="C11" s="11" t="inlineStr">
        <is>
          <t>Starter monthly</t>
        </is>
      </c>
      <c r="D11" s="27" t="n">
        <v>5.378123</v>
      </c>
      <c r="E11" s="28" t="n">
        <v>15.93</v>
      </c>
      <c r="F11" s="29" t="n"/>
    </row>
    <row r="12" ht="24" customHeight="1">
      <c r="A12" s="30" t="inlineStr">
        <is>
          <t>סה"כ חודש"</t>
        </is>
      </c>
      <c r="B12" s="31" t="n"/>
      <c r="C12" s="31" t="n"/>
      <c r="D12" s="20">
        <f>SUM(D4:D11)</f>
        <v/>
      </c>
      <c r="E12" s="21">
        <f>SUM(E4:E11)</f>
        <v/>
      </c>
      <c r="F12" s="31" t="n"/>
    </row>
  </sheetData>
  <mergeCells count="2">
    <mergeCell ref="A12:C12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9DC3E6"/>
    <outlinePr summaryBelow="1" summaryRight="1"/>
    <pageSetUpPr/>
  </sheetPr>
  <dimension ref="A1:F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ינואר 2026  |  January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2026-01-01</t>
        </is>
      </c>
      <c r="B4" s="15" t="inlineStr">
        <is>
          <t>Google Workspace</t>
        </is>
      </c>
      <c r="C4" s="15" t="inlineStr">
        <is>
          <t>Business Plus – Dec 2025 (₪75.90)</t>
        </is>
      </c>
      <c r="D4" s="25" t="n">
        <v>25.624578</v>
      </c>
      <c r="E4" s="26" t="n">
        <v>75.90000000000001</v>
      </c>
      <c r="F4" s="24" t="n"/>
    </row>
    <row r="5">
      <c r="A5" s="10" t="inlineStr">
        <is>
          <t>2026-01-03</t>
        </is>
      </c>
      <c r="B5" s="11" t="inlineStr">
        <is>
          <t>Genspark</t>
        </is>
      </c>
      <c r="C5" s="11" t="inlineStr">
        <is>
          <t>Plus Annual (happynewyear26 promo)</t>
        </is>
      </c>
      <c r="D5" s="27" t="n">
        <v>150.482782</v>
      </c>
      <c r="E5" s="28" t="n">
        <v>445.73</v>
      </c>
      <c r="F5" s="29" t="n"/>
    </row>
    <row r="6">
      <c r="A6" s="14" t="inlineStr">
        <is>
          <t>2026-01-03</t>
        </is>
      </c>
      <c r="B6" s="15" t="inlineStr">
        <is>
          <t>Manychat</t>
        </is>
      </c>
      <c r="C6" s="15" t="inlineStr">
        <is>
          <t>Pro monthly</t>
        </is>
      </c>
      <c r="D6" s="25" t="n">
        <v>16.130993</v>
      </c>
      <c r="E6" s="26" t="n">
        <v>47.78</v>
      </c>
      <c r="F6" s="24" t="n"/>
    </row>
    <row r="7">
      <c r="A7" s="10" t="inlineStr">
        <is>
          <t>2026-01-03</t>
        </is>
      </c>
      <c r="B7" s="11" t="inlineStr">
        <is>
          <t>Meta (Ads)</t>
        </is>
      </c>
      <c r="C7" s="11" t="inlineStr">
        <is>
          <t>Facebook Ads</t>
        </is>
      </c>
      <c r="D7" s="27" t="n">
        <v>20.898042</v>
      </c>
      <c r="E7" s="28" t="n">
        <v>61.9</v>
      </c>
      <c r="F7" s="29" t="n"/>
    </row>
    <row r="8">
      <c r="A8" s="14" t="inlineStr">
        <is>
          <t>2026-01-05</t>
        </is>
      </c>
      <c r="B8" s="15" t="inlineStr">
        <is>
          <t>Genspark</t>
        </is>
      </c>
      <c r="C8" s="15" t="inlineStr">
        <is>
          <t>Credits Pack</t>
        </is>
      </c>
      <c r="D8" s="25" t="n">
        <v>21.441594</v>
      </c>
      <c r="E8" s="26" t="n">
        <v>63.51</v>
      </c>
      <c r="F8" s="24" t="n"/>
    </row>
    <row r="9">
      <c r="A9" s="10" t="inlineStr">
        <is>
          <t>2026-01-08</t>
        </is>
      </c>
      <c r="B9" s="11" t="inlineStr">
        <is>
          <t>Genspark</t>
        </is>
      </c>
      <c r="C9" s="11" t="inlineStr">
        <is>
          <t>Credits Pack</t>
        </is>
      </c>
      <c r="D9" s="27" t="n">
        <v>21.380824</v>
      </c>
      <c r="E9" s="28" t="n">
        <v>63.33</v>
      </c>
      <c r="F9" s="29" t="n"/>
    </row>
    <row r="10">
      <c r="A10" s="14" t="inlineStr">
        <is>
          <t>2026-01-10</t>
        </is>
      </c>
      <c r="B10" s="15" t="inlineStr">
        <is>
          <t>CapCut</t>
        </is>
      </c>
      <c r="C10" s="15" t="inlineStr">
        <is>
          <t>Pro – Jan 2026 (₪49.90)</t>
        </is>
      </c>
      <c r="D10" s="25" t="n">
        <v>16.846725</v>
      </c>
      <c r="E10" s="26" t="n">
        <v>49.9</v>
      </c>
      <c r="F10" s="24" t="n"/>
    </row>
    <row r="11">
      <c r="A11" s="10" t="inlineStr">
        <is>
          <t>2026-01-16</t>
        </is>
      </c>
      <c r="B11" s="11" t="inlineStr">
        <is>
          <t>OpenAI</t>
        </is>
      </c>
      <c r="C11" s="11" t="inlineStr">
        <is>
          <t>ChatGPT Plus</t>
        </is>
      </c>
      <c r="D11" s="27" t="n">
        <v>20</v>
      </c>
      <c r="E11" s="28" t="n">
        <v>62.81</v>
      </c>
      <c r="F11" s="29" t="n"/>
    </row>
    <row r="12">
      <c r="A12" s="14" t="inlineStr">
        <is>
          <t>2026-01-19</t>
        </is>
      </c>
      <c r="B12" s="15" t="inlineStr">
        <is>
          <t>Meta (Ads)</t>
        </is>
      </c>
      <c r="C12" s="15" t="inlineStr">
        <is>
          <t>Facebook Ads</t>
        </is>
      </c>
      <c r="D12" s="25" t="n">
        <v>41.458474</v>
      </c>
      <c r="E12" s="26" t="n">
        <v>122.8</v>
      </c>
      <c r="F12" s="24" t="n"/>
    </row>
    <row r="13">
      <c r="A13" s="10" t="inlineStr">
        <is>
          <t>2026-01-25</t>
        </is>
      </c>
      <c r="B13" s="11" t="inlineStr">
        <is>
          <t>Lovable</t>
        </is>
      </c>
      <c r="C13" s="11" t="inlineStr">
        <is>
          <t>Pro 1 monthly</t>
        </is>
      </c>
      <c r="D13" s="27" t="n">
        <v>26.404456</v>
      </c>
      <c r="E13" s="28" t="n">
        <v>78.20999999999999</v>
      </c>
      <c r="F13" s="29" t="n"/>
    </row>
    <row r="14">
      <c r="A14" s="14" t="inlineStr">
        <is>
          <t>2026-01-27</t>
        </is>
      </c>
      <c r="B14" s="15" t="inlineStr">
        <is>
          <t>Meta (Ads)</t>
        </is>
      </c>
      <c r="C14" s="15" t="inlineStr">
        <is>
          <t>Facebook Ads</t>
        </is>
      </c>
      <c r="D14" s="25" t="n">
        <v>45.239703</v>
      </c>
      <c r="E14" s="26" t="n">
        <v>134</v>
      </c>
      <c r="F14" s="24" t="n"/>
    </row>
    <row r="15">
      <c r="A15" s="10" t="inlineStr">
        <is>
          <t>2026-01-30</t>
        </is>
      </c>
      <c r="B15" s="11" t="inlineStr">
        <is>
          <t>Eleven Labs</t>
        </is>
      </c>
      <c r="C15" s="11" t="inlineStr">
        <is>
          <t>Starter monthly</t>
        </is>
      </c>
      <c r="D15" s="27" t="n">
        <v>5.209318</v>
      </c>
      <c r="E15" s="28" t="n">
        <v>15.43</v>
      </c>
      <c r="F15" s="29" t="n"/>
    </row>
    <row r="16">
      <c r="A16" s="14" t="inlineStr">
        <is>
          <t>2026-01-30</t>
        </is>
      </c>
      <c r="B16" s="15" t="inlineStr">
        <is>
          <t>Timeless</t>
        </is>
      </c>
      <c r="C16" s="15" t="inlineStr">
        <is>
          <t>Pro monthly (50% off)</t>
        </is>
      </c>
      <c r="D16" s="25" t="n">
        <v>15.104659</v>
      </c>
      <c r="E16" s="26" t="n">
        <v>44.74</v>
      </c>
      <c r="F16" s="24" t="n"/>
    </row>
    <row r="17" ht="24" customHeight="1">
      <c r="A17" s="30" t="inlineStr">
        <is>
          <t>סה"כ חודש"</t>
        </is>
      </c>
      <c r="B17" s="31" t="n"/>
      <c r="C17" s="31" t="n"/>
      <c r="D17" s="20">
        <f>SUM(D4:D16)</f>
        <v/>
      </c>
      <c r="E17" s="21">
        <f>SUM(E4:E16)</f>
        <v/>
      </c>
      <c r="F17" s="31" t="n"/>
    </row>
  </sheetData>
  <mergeCells count="2">
    <mergeCell ref="A17:C17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DC3E6"/>
    <outlinePr summaryBelow="1" summaryRight="1"/>
    <pageSetUpPr/>
  </sheetPr>
  <dimension ref="A1:F1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פברואר 2026  |  February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2026-02-01</t>
        </is>
      </c>
      <c r="B4" s="15" t="inlineStr">
        <is>
          <t>Lovable</t>
        </is>
      </c>
      <c r="C4" s="15" t="inlineStr">
        <is>
          <t>Upgrade Pro1 -&gt; Pro2 (prorated)</t>
        </is>
      </c>
      <c r="D4" s="25" t="n">
        <v>26.18501</v>
      </c>
      <c r="E4" s="26" t="n">
        <v>77.56</v>
      </c>
      <c r="F4" s="24" t="n"/>
    </row>
    <row r="5">
      <c r="A5" s="10" t="inlineStr">
        <is>
          <t>2026-02-02</t>
        </is>
      </c>
      <c r="B5" s="11" t="inlineStr">
        <is>
          <t>Google Workspace</t>
        </is>
      </c>
      <c r="C5" s="11" t="inlineStr">
        <is>
          <t>Business Plus – Jan 2026 (₪75.90)</t>
        </is>
      </c>
      <c r="D5" s="27" t="n">
        <v>25.624578</v>
      </c>
      <c r="E5" s="28" t="n">
        <v>75.90000000000001</v>
      </c>
      <c r="F5" s="29" t="n"/>
    </row>
    <row r="6">
      <c r="A6" s="14" t="inlineStr">
        <is>
          <t>2026-02-03</t>
        </is>
      </c>
      <c r="B6" s="15" t="inlineStr">
        <is>
          <t>Meta (Ads)</t>
        </is>
      </c>
      <c r="C6" s="15" t="inlineStr">
        <is>
          <t>Facebook Ads</t>
        </is>
      </c>
      <c r="D6" s="25" t="n">
        <v>32.873059</v>
      </c>
      <c r="E6" s="26" t="n">
        <v>97.37</v>
      </c>
      <c r="F6" s="24" t="n"/>
    </row>
    <row r="7">
      <c r="A7" s="10" t="inlineStr">
        <is>
          <t>2026-02-10</t>
        </is>
      </c>
      <c r="B7" s="11" t="inlineStr">
        <is>
          <t>CapCut</t>
        </is>
      </c>
      <c r="C7" s="11" t="inlineStr">
        <is>
          <t>Pro – Feb 2026 (₪49.90)</t>
        </is>
      </c>
      <c r="D7" s="27" t="n">
        <v>16.846725</v>
      </c>
      <c r="E7" s="28" t="n">
        <v>49.9</v>
      </c>
      <c r="F7" s="29" t="n"/>
    </row>
    <row r="8">
      <c r="A8" s="14" t="inlineStr">
        <is>
          <t>2026-02-12</t>
        </is>
      </c>
      <c r="B8" s="15" t="inlineStr">
        <is>
          <t>Meta (Ads)</t>
        </is>
      </c>
      <c r="C8" s="15" t="inlineStr">
        <is>
          <t>Facebook Ads</t>
        </is>
      </c>
      <c r="D8" s="25" t="n">
        <v>48.825118</v>
      </c>
      <c r="E8" s="26" t="n">
        <v>144.62</v>
      </c>
      <c r="F8" s="24" t="n"/>
    </row>
    <row r="9">
      <c r="A9" s="10" t="inlineStr">
        <is>
          <t>2026-02-15</t>
        </is>
      </c>
      <c r="B9" s="11" t="inlineStr">
        <is>
          <t>Anthropic</t>
        </is>
      </c>
      <c r="C9" s="11" t="inlineStr">
        <is>
          <t>Claude Pro</t>
        </is>
      </c>
      <c r="D9" s="27" t="n">
        <v>20.840648</v>
      </c>
      <c r="E9" s="28" t="n">
        <v>61.73</v>
      </c>
      <c r="F9" s="29" t="n"/>
    </row>
    <row r="10">
      <c r="A10" s="14" t="inlineStr">
        <is>
          <t>2026-02-16</t>
        </is>
      </c>
      <c r="B10" s="15" t="inlineStr">
        <is>
          <t>Anthropic</t>
        </is>
      </c>
      <c r="C10" s="15" t="inlineStr">
        <is>
          <t>Credit purchase</t>
        </is>
      </c>
      <c r="D10" s="25" t="n">
        <v>5.212694</v>
      </c>
      <c r="E10" s="26" t="n">
        <v>15.44</v>
      </c>
      <c r="F10" s="24" t="n"/>
    </row>
    <row r="11">
      <c r="A11" s="10" t="inlineStr">
        <is>
          <t>2026-02-16</t>
        </is>
      </c>
      <c r="B11" s="11" t="inlineStr">
        <is>
          <t>OpenAI</t>
        </is>
      </c>
      <c r="C11" s="11" t="inlineStr">
        <is>
          <t>ChatGPT Plus</t>
        </is>
      </c>
      <c r="D11" s="27" t="n">
        <v>20</v>
      </c>
      <c r="E11" s="28" t="n">
        <v>61.77</v>
      </c>
      <c r="F11" s="29" t="n"/>
    </row>
    <row r="12">
      <c r="A12" s="14" t="inlineStr">
        <is>
          <t>2026-02-24</t>
        </is>
      </c>
      <c r="B12" s="15" t="inlineStr">
        <is>
          <t>Higgsfield</t>
        </is>
      </c>
      <c r="C12" s="15" t="inlineStr">
        <is>
          <t>On-Demand credits 500</t>
        </is>
      </c>
      <c r="D12" s="25" t="n">
        <v>21.120864</v>
      </c>
      <c r="E12" s="26" t="n">
        <v>62.56</v>
      </c>
      <c r="F12" s="24" t="n"/>
    </row>
    <row r="13">
      <c r="A13" s="10" t="inlineStr">
        <is>
          <t>2026-02-25</t>
        </is>
      </c>
      <c r="B13" s="11" t="inlineStr">
        <is>
          <t>Lovable</t>
        </is>
      </c>
      <c r="C13" s="11" t="inlineStr">
        <is>
          <t>Pro2 monthly</t>
        </is>
      </c>
      <c r="D13" s="27" t="n">
        <v>52.316003</v>
      </c>
      <c r="E13" s="28" t="n">
        <v>154.96</v>
      </c>
      <c r="F13" s="29" t="n"/>
    </row>
    <row r="14">
      <c r="A14" s="14" t="inlineStr">
        <is>
          <t>2026-02-25</t>
        </is>
      </c>
      <c r="B14" s="15" t="inlineStr">
        <is>
          <t>Meta (Ads)</t>
        </is>
      </c>
      <c r="C14" s="15" t="inlineStr">
        <is>
          <t>Facebook Ads</t>
        </is>
      </c>
      <c r="D14" s="25" t="n">
        <v>53.362593</v>
      </c>
      <c r="E14" s="26" t="n">
        <v>158.06</v>
      </c>
      <c r="F14" s="24" t="n"/>
    </row>
    <row r="15">
      <c r="A15" s="10" t="inlineStr">
        <is>
          <t>2026-02-28</t>
        </is>
      </c>
      <c r="B15" s="11" t="inlineStr">
        <is>
          <t>Eleven Labs</t>
        </is>
      </c>
      <c r="C15" s="11" t="inlineStr">
        <is>
          <t>Starter monthly</t>
        </is>
      </c>
      <c r="D15" s="27" t="n">
        <v>5.29372</v>
      </c>
      <c r="E15" s="28" t="n">
        <v>15.68</v>
      </c>
      <c r="F15" s="29" t="n"/>
    </row>
    <row r="16">
      <c r="A16" s="14" t="inlineStr">
        <is>
          <t>2026-02-28</t>
        </is>
      </c>
      <c r="B16" s="15" t="inlineStr">
        <is>
          <t>Lovable</t>
        </is>
      </c>
      <c r="C16" s="15" t="inlineStr">
        <is>
          <t>Cloud &amp; AI Balance Top-up</t>
        </is>
      </c>
      <c r="D16" s="25" t="n">
        <v>10.584065</v>
      </c>
      <c r="E16" s="26" t="n">
        <v>31.35</v>
      </c>
      <c r="F16" s="24" t="n"/>
    </row>
    <row r="17" ht="24" customHeight="1">
      <c r="A17" s="30" t="inlineStr">
        <is>
          <t>סה"כ חודש"</t>
        </is>
      </c>
      <c r="B17" s="31" t="n"/>
      <c r="C17" s="31" t="n"/>
      <c r="D17" s="20">
        <f>SUM(D4:D16)</f>
        <v/>
      </c>
      <c r="E17" s="21">
        <f>SUM(E4:E16)</f>
        <v/>
      </c>
      <c r="F17" s="31" t="n"/>
    </row>
  </sheetData>
  <mergeCells count="2">
    <mergeCell ref="A17:C17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9DC3E6"/>
    <outlinePr summaryBelow="1" summaryRight="1"/>
    <pageSetUpPr/>
  </sheetPr>
  <dimension ref="A1:F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מרץ 2026  |  March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2026-03-01</t>
        </is>
      </c>
      <c r="B4" s="15" t="inlineStr">
        <is>
          <t>Google Workspace</t>
        </is>
      </c>
      <c r="C4" s="15" t="inlineStr">
        <is>
          <t>Google Workspace (₪75.9)</t>
        </is>
      </c>
      <c r="D4" s="25" t="n">
        <v>25.624578</v>
      </c>
      <c r="E4" s="26" t="n">
        <v>75.90000000000001</v>
      </c>
      <c r="F4" s="24" t="n"/>
    </row>
    <row r="5">
      <c r="A5" s="10" t="inlineStr">
        <is>
          <t>2026-03-01</t>
        </is>
      </c>
      <c r="B5" s="11" t="inlineStr">
        <is>
          <t>Lovable</t>
        </is>
      </c>
      <c r="C5" s="11" t="inlineStr">
        <is>
          <t>Cloud &amp; AI Balance Top-up</t>
        </is>
      </c>
      <c r="D5" s="27" t="n">
        <v>10.560432</v>
      </c>
      <c r="E5" s="28" t="n">
        <v>31.28</v>
      </c>
      <c r="F5" s="29" t="n"/>
    </row>
    <row r="6">
      <c r="A6" s="14" t="inlineStr">
        <is>
          <t>2026-03-01</t>
        </is>
      </c>
      <c r="B6" s="15" t="inlineStr">
        <is>
          <t>Timeless</t>
        </is>
      </c>
      <c r="C6" s="15" t="inlineStr">
        <is>
          <t>Pro monthly (50% off)</t>
        </is>
      </c>
      <c r="D6" s="25" t="n">
        <v>15.313977</v>
      </c>
      <c r="E6" s="26" t="n">
        <v>45.36</v>
      </c>
      <c r="F6" s="24" t="n"/>
    </row>
    <row r="7">
      <c r="A7" s="10" t="inlineStr">
        <is>
          <t>2026-03-02</t>
        </is>
      </c>
      <c r="B7" s="11" t="inlineStr">
        <is>
          <t>Google Workspace</t>
        </is>
      </c>
      <c r="C7" s="11" t="inlineStr">
        <is>
          <t>Business Plus – Feb 2026 (₪75.90)</t>
        </is>
      </c>
      <c r="D7" s="27" t="n">
        <v>25.624578</v>
      </c>
      <c r="E7" s="28" t="n">
        <v>75.90000000000001</v>
      </c>
      <c r="F7" s="29" t="n"/>
    </row>
    <row r="8">
      <c r="A8" s="14" t="inlineStr">
        <is>
          <t>2026-03-02</t>
        </is>
      </c>
      <c r="B8" s="15" t="inlineStr">
        <is>
          <t>Lovable</t>
        </is>
      </c>
      <c r="C8" s="15" t="inlineStr">
        <is>
          <t>Cloud &amp; AI Balance Top-up</t>
        </is>
      </c>
      <c r="D8" s="25" t="n">
        <v>10.533423</v>
      </c>
      <c r="E8" s="26" t="n">
        <v>31.2</v>
      </c>
      <c r="F8" s="24" t="n"/>
    </row>
    <row r="9">
      <c r="A9" s="10" t="inlineStr">
        <is>
          <t>2026-03-03</t>
        </is>
      </c>
      <c r="B9" s="11" t="inlineStr">
        <is>
          <t>Meta (Ads)</t>
        </is>
      </c>
      <c r="C9" s="11" t="inlineStr">
        <is>
          <t>Facebook Ads</t>
        </is>
      </c>
      <c r="D9" s="27" t="n">
        <v>41.671168</v>
      </c>
      <c r="E9" s="28" t="n">
        <v>123.43</v>
      </c>
      <c r="F9" s="29" t="n"/>
    </row>
    <row r="10">
      <c r="A10" s="14" t="inlineStr">
        <is>
          <t>2026-03-10</t>
        </is>
      </c>
      <c r="B10" s="15" t="inlineStr">
        <is>
          <t>CapCut</t>
        </is>
      </c>
      <c r="C10" s="15" t="inlineStr">
        <is>
          <t>Pro – Mar 2026 (₪49.90)</t>
        </is>
      </c>
      <c r="D10" s="25" t="n">
        <v>16.846725</v>
      </c>
      <c r="E10" s="26" t="n">
        <v>49.9</v>
      </c>
      <c r="F10" s="24" t="n"/>
    </row>
    <row r="11">
      <c r="A11" s="10" t="inlineStr">
        <is>
          <t>2026-03-12</t>
        </is>
      </c>
      <c r="B11" s="11" t="inlineStr">
        <is>
          <t>Meta (Ads)</t>
        </is>
      </c>
      <c r="C11" s="11" t="inlineStr">
        <is>
          <t>Facebook Ads</t>
        </is>
      </c>
      <c r="D11" s="27" t="n">
        <v>53.906144</v>
      </c>
      <c r="E11" s="28" t="n">
        <v>159.67</v>
      </c>
      <c r="F11" s="29" t="n"/>
    </row>
    <row r="12">
      <c r="A12" s="14" t="inlineStr">
        <is>
          <t>2026-03-15</t>
        </is>
      </c>
      <c r="B12" s="15" t="inlineStr">
        <is>
          <t>Anthropic</t>
        </is>
      </c>
      <c r="C12" s="15" t="inlineStr">
        <is>
          <t>Claude Pro</t>
        </is>
      </c>
      <c r="D12" s="25" t="n">
        <v>21.225523</v>
      </c>
      <c r="E12" s="26" t="n">
        <v>62.87</v>
      </c>
      <c r="F12" s="24" t="n"/>
    </row>
    <row r="13">
      <c r="A13" s="10" t="inlineStr">
        <is>
          <t>2026-03-16</t>
        </is>
      </c>
      <c r="B13" s="11" t="inlineStr">
        <is>
          <t>OpenAI</t>
        </is>
      </c>
      <c r="C13" s="11" t="inlineStr">
        <is>
          <t>ChatGPT Plus</t>
        </is>
      </c>
      <c r="D13" s="27" t="n">
        <v>20</v>
      </c>
      <c r="E13" s="28" t="n">
        <v>62.87</v>
      </c>
      <c r="F13" s="29" t="n"/>
    </row>
    <row r="14">
      <c r="A14" s="14" t="inlineStr">
        <is>
          <t>2026-03-18</t>
        </is>
      </c>
      <c r="B14" s="15" t="inlineStr">
        <is>
          <t>CapCut</t>
        </is>
      </c>
      <c r="C14" s="15" t="inlineStr">
        <is>
          <t>Pro – Mar 2026 (₪49.90)</t>
        </is>
      </c>
      <c r="D14" s="25" t="n">
        <v>16.846725</v>
      </c>
      <c r="E14" s="26" t="n">
        <v>49.9</v>
      </c>
      <c r="F14" s="24" t="n"/>
    </row>
    <row r="15">
      <c r="A15" s="10" t="inlineStr">
        <is>
          <t>2026-03-19</t>
        </is>
      </c>
      <c r="B15" s="11" t="inlineStr">
        <is>
          <t>Anthropic</t>
        </is>
      </c>
      <c r="C15" s="11" t="inlineStr">
        <is>
          <t>Credit purchase</t>
        </is>
      </c>
      <c r="D15" s="27" t="n">
        <v>10.503038</v>
      </c>
      <c r="E15" s="28" t="n">
        <v>31.11</v>
      </c>
      <c r="F15" s="29" t="n"/>
    </row>
    <row r="16">
      <c r="A16" s="14" t="inlineStr">
        <is>
          <t>2026-03-19</t>
        </is>
      </c>
      <c r="B16" s="15" t="inlineStr">
        <is>
          <t>Eleven Labs</t>
        </is>
      </c>
      <c r="C16" s="15" t="inlineStr">
        <is>
          <t>Creator (first month 50% off)</t>
        </is>
      </c>
      <c r="D16" s="25" t="n">
        <v>11.553005</v>
      </c>
      <c r="E16" s="26" t="n">
        <v>34.22</v>
      </c>
      <c r="F16" s="24" t="n"/>
    </row>
    <row r="17">
      <c r="A17" s="10" t="inlineStr">
        <is>
          <t>2026-03-24</t>
        </is>
      </c>
      <c r="B17" s="11" t="inlineStr">
        <is>
          <t>Dzine</t>
        </is>
      </c>
      <c r="C17" s="11" t="inlineStr">
        <is>
          <t>Video Top-Up</t>
        </is>
      </c>
      <c r="D17" s="27" t="n">
        <v>9.473329</v>
      </c>
      <c r="E17" s="28" t="n">
        <v>28.06</v>
      </c>
      <c r="F17" s="29" t="n"/>
    </row>
    <row r="18">
      <c r="A18" s="14" t="inlineStr">
        <is>
          <t>2026-03-25</t>
        </is>
      </c>
      <c r="B18" s="15" t="inlineStr">
        <is>
          <t>Lovable</t>
        </is>
      </c>
      <c r="C18" s="15" t="inlineStr">
        <is>
          <t>Lite plan</t>
        </is>
      </c>
      <c r="D18" s="25" t="n">
        <v>5.273464</v>
      </c>
      <c r="E18" s="26" t="n">
        <v>15.62</v>
      </c>
      <c r="F18" s="24" t="n"/>
    </row>
    <row r="19">
      <c r="A19" s="10" t="inlineStr">
        <is>
          <t>2026-03-26</t>
        </is>
      </c>
      <c r="B19" s="11" t="inlineStr">
        <is>
          <t>Dzine</t>
        </is>
      </c>
      <c r="C19" s="11" t="inlineStr">
        <is>
          <t>Video Top-Up</t>
        </is>
      </c>
      <c r="D19" s="27" t="n">
        <v>21.056718</v>
      </c>
      <c r="E19" s="28" t="n">
        <v>62.37</v>
      </c>
      <c r="F19" s="29" t="n"/>
    </row>
    <row r="20" ht="24" customHeight="1">
      <c r="A20" s="30" t="inlineStr">
        <is>
          <t>סה"כ חודש"</t>
        </is>
      </c>
      <c r="B20" s="31" t="n"/>
      <c r="C20" s="31" t="n"/>
      <c r="D20" s="20">
        <f>SUM(D4:D19)</f>
        <v/>
      </c>
      <c r="E20" s="21">
        <f>SUM(E4:E19)</f>
        <v/>
      </c>
      <c r="F20" s="31" t="n"/>
    </row>
  </sheetData>
  <mergeCells count="2">
    <mergeCell ref="A20:C20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9DC3E6"/>
    <outlinePr summaryBelow="1" summaryRight="1"/>
    <pageSetUpPr/>
  </sheetPr>
  <dimension ref="A1:F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אפריל 2026  |  April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2026-04-01</t>
        </is>
      </c>
      <c r="B4" s="15" t="inlineStr">
        <is>
          <t>Anthropic</t>
        </is>
      </c>
      <c r="C4" s="15" t="inlineStr">
        <is>
          <t>Prepaid extra usage, Individual plan</t>
        </is>
      </c>
      <c r="D4" s="25" t="n">
        <v>10.61445</v>
      </c>
      <c r="E4" s="26" t="n">
        <v>31.44</v>
      </c>
      <c r="F4" s="24" t="n"/>
    </row>
    <row r="5">
      <c r="A5" s="10" t="inlineStr">
        <is>
          <t>2026-04-01</t>
        </is>
      </c>
      <c r="B5" s="11" t="inlineStr">
        <is>
          <t>Google Workspace</t>
        </is>
      </c>
      <c r="C5" s="11" t="inlineStr">
        <is>
          <t>Business Plus – Mar 2026 (₪75.90)</t>
        </is>
      </c>
      <c r="D5" s="27" t="n">
        <v>25.624578</v>
      </c>
      <c r="E5" s="28" t="n">
        <v>75.90000000000001</v>
      </c>
      <c r="F5" s="29" t="n"/>
    </row>
    <row r="6">
      <c r="A6" s="14" t="inlineStr">
        <is>
          <t>2026-04-01</t>
        </is>
      </c>
      <c r="B6" s="15" t="inlineStr">
        <is>
          <t>Meta (Ads)</t>
        </is>
      </c>
      <c r="C6" s="15" t="inlineStr">
        <is>
          <t>Facebook Ads</t>
        </is>
      </c>
      <c r="D6" s="25" t="n">
        <v>56.154625</v>
      </c>
      <c r="E6" s="26" t="n">
        <v>166.33</v>
      </c>
      <c r="F6" s="24" t="n"/>
    </row>
    <row r="7">
      <c r="A7" s="10" t="inlineStr">
        <is>
          <t>2026-04-02</t>
        </is>
      </c>
      <c r="B7" s="11" t="inlineStr">
        <is>
          <t>Dzine</t>
        </is>
      </c>
      <c r="C7" s="11" t="inlineStr">
        <is>
          <t>Video Top-Up</t>
        </is>
      </c>
      <c r="D7" s="27" t="n">
        <v>19.071573</v>
      </c>
      <c r="E7" s="28" t="n">
        <v>56.49</v>
      </c>
      <c r="F7" s="29" t="n"/>
    </row>
    <row r="8">
      <c r="A8" s="14" t="inlineStr">
        <is>
          <t>2026-04-03</t>
        </is>
      </c>
      <c r="B8" s="15" t="inlineStr">
        <is>
          <t>Meta (Ads)</t>
        </is>
      </c>
      <c r="C8" s="15" t="inlineStr">
        <is>
          <t>Facebook Ads</t>
        </is>
      </c>
      <c r="D8" s="25" t="n">
        <v>2.380149</v>
      </c>
      <c r="E8" s="26" t="n">
        <v>7.05</v>
      </c>
      <c r="F8" s="24" t="n"/>
    </row>
    <row r="9">
      <c r="A9" s="10" t="inlineStr">
        <is>
          <t>2026-04-05</t>
        </is>
      </c>
      <c r="B9" s="11" t="inlineStr">
        <is>
          <t>IONOS</t>
        </is>
      </c>
      <c r="C9" s="11" t="inlineStr">
        <is>
          <t>Instant Domain</t>
        </is>
      </c>
      <c r="D9" s="27" t="n">
        <v>21.212019</v>
      </c>
      <c r="E9" s="28" t="n">
        <v>62.83</v>
      </c>
      <c r="F9" s="29" t="n"/>
    </row>
    <row r="10">
      <c r="A10" s="14" t="inlineStr">
        <is>
          <t>2026-04-10</t>
        </is>
      </c>
      <c r="B10" s="15" t="inlineStr">
        <is>
          <t>CapCut</t>
        </is>
      </c>
      <c r="C10" s="15" t="inlineStr">
        <is>
          <t>capcut_pro_discount1</t>
        </is>
      </c>
      <c r="D10" s="25" t="n">
        <v>16.846725</v>
      </c>
      <c r="E10" s="26" t="n">
        <v>49.9</v>
      </c>
      <c r="F10" s="24" t="n"/>
    </row>
    <row r="11">
      <c r="A11" s="10" t="inlineStr">
        <is>
          <t>2026-04-15</t>
        </is>
      </c>
      <c r="B11" s="11" t="inlineStr">
        <is>
          <t>Anthropic</t>
        </is>
      </c>
      <c r="C11" s="11" t="inlineStr">
        <is>
          <t>Claude Pro</t>
        </is>
      </c>
      <c r="D11" s="27" t="n">
        <v>20</v>
      </c>
      <c r="E11" s="28" t="n">
        <v>60.19</v>
      </c>
      <c r="F11" s="29" t="n"/>
    </row>
    <row r="12">
      <c r="A12" s="14" t="inlineStr">
        <is>
          <t>2026-04-16</t>
        </is>
      </c>
      <c r="B12" s="15" t="inlineStr">
        <is>
          <t>Anthropic</t>
        </is>
      </c>
      <c r="C12" s="15" t="inlineStr">
        <is>
          <t>Prepaid extra usage, Individual plan</t>
        </is>
      </c>
      <c r="D12" s="25" t="n">
        <v>10</v>
      </c>
      <c r="E12" s="26" t="n">
        <v>29.98</v>
      </c>
      <c r="F12" s="24" t="n"/>
    </row>
    <row r="13">
      <c r="A13" s="10" t="inlineStr">
        <is>
          <t>2026-04-16</t>
        </is>
      </c>
      <c r="B13" s="11" t="inlineStr">
        <is>
          <t>OpenAI</t>
        </is>
      </c>
      <c r="C13" s="11" t="inlineStr">
        <is>
          <t>ChatGPT Plus</t>
        </is>
      </c>
      <c r="D13" s="27" t="n">
        <v>20</v>
      </c>
      <c r="E13" s="28" t="n">
        <v>59.96</v>
      </c>
      <c r="F13" s="29" t="n"/>
    </row>
    <row r="14">
      <c r="A14" s="14" t="inlineStr">
        <is>
          <t>2026-04-18</t>
        </is>
      </c>
      <c r="B14" s="15" t="inlineStr">
        <is>
          <t>CapCut</t>
        </is>
      </c>
      <c r="C14" s="15" t="inlineStr">
        <is>
          <t>Pro – Apr 2026 (₪49.90)</t>
        </is>
      </c>
      <c r="D14" s="25" t="n">
        <v>16.846725</v>
      </c>
      <c r="E14" s="26" t="n">
        <v>49.9</v>
      </c>
      <c r="F14" s="24" t="n"/>
    </row>
    <row r="15">
      <c r="A15" s="10" t="inlineStr">
        <is>
          <t>2026-04-18</t>
        </is>
      </c>
      <c r="B15" s="11" t="inlineStr">
        <is>
          <t>OpenAI</t>
        </is>
      </c>
      <c r="C15" s="11" t="inlineStr">
        <is>
          <t>ChatGPT Pro Subscription</t>
        </is>
      </c>
      <c r="D15" s="27" t="n">
        <v>81.141121</v>
      </c>
      <c r="E15" s="28" t="n">
        <v>240.34</v>
      </c>
      <c r="F15" s="29" t="n"/>
    </row>
    <row r="16">
      <c r="A16" s="14" t="inlineStr">
        <is>
          <t>2026-04-19</t>
        </is>
      </c>
      <c r="B16" s="15" t="inlineStr">
        <is>
          <t>Anthropic</t>
        </is>
      </c>
      <c r="C16" s="15" t="inlineStr">
        <is>
          <t>Prepaid extra usage, Individual plan</t>
        </is>
      </c>
      <c r="D16" s="25" t="n">
        <v>5</v>
      </c>
      <c r="E16" s="26" t="n">
        <v>14.8</v>
      </c>
      <c r="F16" s="24" t="n"/>
    </row>
    <row r="17">
      <c r="A17" s="10" t="inlineStr">
        <is>
          <t>2026-04-19</t>
        </is>
      </c>
      <c r="B17" s="11" t="inlineStr">
        <is>
          <t>Eleven Labs</t>
        </is>
      </c>
      <c r="C17" s="11" t="inlineStr">
        <is>
          <t>Starter monthly</t>
        </is>
      </c>
      <c r="D17" s="27" t="n">
        <v>4.996624</v>
      </c>
      <c r="E17" s="28" t="n">
        <v>14.8</v>
      </c>
      <c r="F17" s="29" t="n"/>
    </row>
    <row r="18">
      <c r="A18" s="14" t="inlineStr">
        <is>
          <t>2026-04-20</t>
        </is>
      </c>
      <c r="B18" s="15" t="inlineStr">
        <is>
          <t>Anthropic</t>
        </is>
      </c>
      <c r="C18" s="15" t="inlineStr">
        <is>
          <t>Auto recharge extra usage, Individual plan</t>
        </is>
      </c>
      <c r="D18" s="25" t="n">
        <v>15.14</v>
      </c>
      <c r="E18" s="26" t="n">
        <v>44.81</v>
      </c>
      <c r="F18" s="24" t="n"/>
    </row>
    <row r="19">
      <c r="A19" s="10" t="inlineStr">
        <is>
          <t>2026-04-20</t>
        </is>
      </c>
      <c r="B19" s="11" t="inlineStr">
        <is>
          <t>Anthropic</t>
        </is>
      </c>
      <c r="C19" s="11" t="inlineStr">
        <is>
          <t>Prepaid extra usage, Individual plan</t>
        </is>
      </c>
      <c r="D19" s="27" t="n">
        <v>10</v>
      </c>
      <c r="E19" s="28" t="n">
        <v>29.6</v>
      </c>
      <c r="F19" s="29" t="n"/>
    </row>
    <row r="20">
      <c r="A20" s="14" t="inlineStr">
        <is>
          <t>2026-04-21</t>
        </is>
      </c>
      <c r="B20" s="15" t="inlineStr">
        <is>
          <t>Anthropic</t>
        </is>
      </c>
      <c r="C20" s="15" t="inlineStr">
        <is>
          <t>Auto recharge extra usage, Individual plan</t>
        </is>
      </c>
      <c r="D20" s="25" t="n">
        <v>10.15</v>
      </c>
      <c r="E20" s="26" t="n">
        <v>30.34</v>
      </c>
      <c r="F20" s="24" t="n"/>
    </row>
    <row r="21">
      <c r="A21" s="10" t="inlineStr">
        <is>
          <t>2026-04-21</t>
        </is>
      </c>
      <c r="B21" s="11" t="inlineStr">
        <is>
          <t>Anthropic</t>
        </is>
      </c>
      <c r="C21" s="11" t="inlineStr">
        <is>
          <t>Auto recharge extra usage, Individual plan</t>
        </is>
      </c>
      <c r="D21" s="27" t="n">
        <v>10.02</v>
      </c>
      <c r="E21" s="28" t="n">
        <v>29.95</v>
      </c>
      <c r="F21" s="29" t="n"/>
    </row>
    <row r="22">
      <c r="A22" s="14" t="inlineStr">
        <is>
          <t>2026-04-21</t>
        </is>
      </c>
      <c r="B22" s="15" t="inlineStr">
        <is>
          <t>Anthropic</t>
        </is>
      </c>
      <c r="C22" s="15" t="inlineStr">
        <is>
          <t>Auto recharge extra usage, Individual plan</t>
        </is>
      </c>
      <c r="D22" s="25" t="n">
        <v>10.5</v>
      </c>
      <c r="E22" s="26" t="n">
        <v>31.38</v>
      </c>
      <c r="F22" s="24" t="n"/>
    </row>
    <row r="23">
      <c r="A23" s="10" t="inlineStr">
        <is>
          <t>2026-04-21</t>
        </is>
      </c>
      <c r="B23" s="11" t="inlineStr">
        <is>
          <t>Anthropic</t>
        </is>
      </c>
      <c r="C23" s="11" t="inlineStr">
        <is>
          <t>Auto recharge extra usage, Individual plan</t>
        </is>
      </c>
      <c r="D23" s="27" t="n">
        <v>11.17</v>
      </c>
      <c r="E23" s="28" t="n">
        <v>33.39</v>
      </c>
      <c r="F23" s="29" t="n"/>
    </row>
    <row r="24">
      <c r="A24" s="14" t="inlineStr">
        <is>
          <t>2026-04-21</t>
        </is>
      </c>
      <c r="B24" s="15" t="inlineStr">
        <is>
          <t>Supabase</t>
        </is>
      </c>
      <c r="C24" s="15" t="inlineStr">
        <is>
          <t>Supabase</t>
        </is>
      </c>
      <c r="D24" s="25" t="n">
        <v>25</v>
      </c>
      <c r="E24" s="26" t="n">
        <v>74.72</v>
      </c>
      <c r="F24" s="24" t="n"/>
    </row>
    <row r="25">
      <c r="A25" s="10" t="inlineStr">
        <is>
          <t>2026-04-22</t>
        </is>
      </c>
      <c r="B25" s="11" t="inlineStr">
        <is>
          <t>Anthropic</t>
        </is>
      </c>
      <c r="C25" s="11" t="inlineStr">
        <is>
          <t>Auto recharge extra usage, Individual plan</t>
        </is>
      </c>
      <c r="D25" s="27" t="n">
        <v>15.57</v>
      </c>
      <c r="E25" s="28" t="n">
        <v>46.79</v>
      </c>
      <c r="F25" s="29" t="n"/>
    </row>
    <row r="26">
      <c r="A26" s="14" t="inlineStr">
        <is>
          <t>2026-04-22</t>
        </is>
      </c>
      <c r="B26" s="15" t="inlineStr">
        <is>
          <t>Anthropic</t>
        </is>
      </c>
      <c r="C26" s="15" t="inlineStr">
        <is>
          <t>Auto recharge extra usage, Individual plan</t>
        </is>
      </c>
      <c r="D26" s="25" t="n">
        <v>10.74</v>
      </c>
      <c r="E26" s="26" t="n">
        <v>32.27</v>
      </c>
      <c r="F26" s="24" t="n"/>
    </row>
    <row r="27">
      <c r="A27" s="10" t="inlineStr">
        <is>
          <t>2026-04-23</t>
        </is>
      </c>
      <c r="B27" s="11" t="inlineStr">
        <is>
          <t>Anthropic</t>
        </is>
      </c>
      <c r="C27" s="11" t="inlineStr">
        <is>
          <t>Auto recharge extra usage, Individual plan</t>
        </is>
      </c>
      <c r="D27" s="27" t="n">
        <v>10.16</v>
      </c>
      <c r="E27" s="28" t="n">
        <v>30.47</v>
      </c>
      <c r="F27" s="29" t="n"/>
    </row>
    <row r="28">
      <c r="A28" s="14" t="inlineStr">
        <is>
          <t>2026-04-26</t>
        </is>
      </c>
      <c r="B28" s="15" t="inlineStr">
        <is>
          <t>Lovable</t>
        </is>
      </c>
      <c r="C28" s="15" t="inlineStr">
        <is>
          <t>Lovable</t>
        </is>
      </c>
      <c r="D28" s="25" t="n">
        <v>5</v>
      </c>
      <c r="E28" s="26" t="n">
        <v>14.93</v>
      </c>
      <c r="F28" s="24" t="n"/>
    </row>
    <row r="29">
      <c r="A29" s="10" t="inlineStr">
        <is>
          <t>2026-04-26</t>
        </is>
      </c>
      <c r="B29" s="11" t="inlineStr">
        <is>
          <t>Meta (Ads)</t>
        </is>
      </c>
      <c r="C29" s="11" t="inlineStr">
        <is>
          <t>Facebook Ads</t>
        </is>
      </c>
      <c r="D29" s="27" t="n">
        <v>51</v>
      </c>
      <c r="E29" s="28" t="n">
        <v>152.29</v>
      </c>
      <c r="F29" s="29" t="n"/>
    </row>
    <row r="30">
      <c r="A30" s="14" t="inlineStr">
        <is>
          <t>2026-04-27</t>
        </is>
      </c>
      <c r="B30" s="15" t="inlineStr">
        <is>
          <t>Higgsfield</t>
        </is>
      </c>
      <c r="C30" s="15" t="inlineStr">
        <is>
          <t>Credit Package</t>
        </is>
      </c>
      <c r="D30" s="25" t="n">
        <v>40.83052</v>
      </c>
      <c r="E30" s="26" t="n">
        <v>120.94</v>
      </c>
      <c r="F30" s="24" t="n"/>
    </row>
    <row r="31">
      <c r="A31" s="10" t="inlineStr">
        <is>
          <t>2026-04-28</t>
        </is>
      </c>
      <c r="B31" s="11" t="inlineStr">
        <is>
          <t>Anthropic</t>
        </is>
      </c>
      <c r="C31" s="11" t="inlineStr">
        <is>
          <t>Auto recharge extra usage, Individual plan</t>
        </is>
      </c>
      <c r="D31" s="27" t="n">
        <v>10.56</v>
      </c>
      <c r="E31" s="28" t="n">
        <v>31.42</v>
      </c>
      <c r="F31" s="29" t="n"/>
    </row>
    <row r="32" ht="24" customHeight="1">
      <c r="A32" s="30" t="inlineStr">
        <is>
          <t>סה"כ חודש"</t>
        </is>
      </c>
      <c r="B32" s="31" t="n"/>
      <c r="C32" s="31" t="n"/>
      <c r="D32" s="20">
        <f>SUM(D4:D31)</f>
        <v/>
      </c>
      <c r="E32" s="21">
        <f>SUM(E4:E31)</f>
        <v/>
      </c>
      <c r="F32" s="31" t="n"/>
    </row>
  </sheetData>
  <mergeCells count="2">
    <mergeCell ref="A32:C32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9DC3E6"/>
    <outlinePr summaryBelow="1" summaryRight="1"/>
    <pageSetUpPr/>
  </sheetPr>
  <dimension ref="A1:F1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מאי 2026  |  May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2026-05-01</t>
        </is>
      </c>
      <c r="B4" s="15" t="inlineStr">
        <is>
          <t>Anthropic</t>
        </is>
      </c>
      <c r="C4" s="15" t="inlineStr">
        <is>
          <t>Auto recharge extra usage, Individual plan</t>
        </is>
      </c>
      <c r="D4" s="25" t="n">
        <v>10.367995</v>
      </c>
      <c r="E4" s="26" t="n">
        <v>30.71</v>
      </c>
      <c r="F4" s="24" t="n"/>
    </row>
    <row r="5">
      <c r="A5" s="10" t="inlineStr">
        <is>
          <t>2026-05-01</t>
        </is>
      </c>
      <c r="B5" s="11" t="inlineStr">
        <is>
          <t>Anthropic</t>
        </is>
      </c>
      <c r="C5" s="11" t="inlineStr">
        <is>
          <t>Auto recharge extra usage, Individual plan</t>
        </is>
      </c>
      <c r="D5" s="27" t="n">
        <v>10.806887</v>
      </c>
      <c r="E5" s="28" t="n">
        <v>32.01</v>
      </c>
      <c r="F5" s="29" t="n"/>
    </row>
    <row r="6">
      <c r="A6" s="14" t="inlineStr">
        <is>
          <t>2026-05-01</t>
        </is>
      </c>
      <c r="B6" s="15" t="inlineStr">
        <is>
          <t>Anthropic</t>
        </is>
      </c>
      <c r="C6" s="15" t="inlineStr">
        <is>
          <t>Auto recharge extra usage, Individual plan</t>
        </is>
      </c>
      <c r="D6" s="25" t="n">
        <v>10.786631</v>
      </c>
      <c r="E6" s="26" t="n">
        <v>31.95</v>
      </c>
      <c r="F6" s="24" t="n"/>
    </row>
    <row r="7">
      <c r="A7" s="10" t="inlineStr">
        <is>
          <t>2026-05-01</t>
        </is>
      </c>
      <c r="B7" s="11" t="inlineStr">
        <is>
          <t>Google Cloud</t>
        </is>
      </c>
      <c r="C7" s="11" t="inlineStr">
        <is>
          <t>Google Cloud Platform &amp; APIs (₪8.23)</t>
        </is>
      </c>
      <c r="D7" s="27" t="n">
        <v>2.778528</v>
      </c>
      <c r="E7" s="28" t="n">
        <v>8.23</v>
      </c>
      <c r="F7" s="29" t="n"/>
    </row>
    <row r="8">
      <c r="A8" s="14" t="inlineStr">
        <is>
          <t>2026-05-01</t>
        </is>
      </c>
      <c r="B8" s="15" t="inlineStr">
        <is>
          <t>Google Workspace</t>
        </is>
      </c>
      <c r="C8" s="15" t="inlineStr">
        <is>
          <t>Google Workspace (₪75.90)</t>
        </is>
      </c>
      <c r="D8" s="25" t="n">
        <v>25.624578</v>
      </c>
      <c r="E8" s="26" t="n">
        <v>75.90000000000001</v>
      </c>
      <c r="F8" s="24" t="n"/>
    </row>
    <row r="9">
      <c r="A9" s="10" t="inlineStr">
        <is>
          <t>2026-05-02</t>
        </is>
      </c>
      <c r="B9" s="11" t="inlineStr">
        <is>
          <t>Anthropic</t>
        </is>
      </c>
      <c r="C9" s="11" t="inlineStr">
        <is>
          <t>Prepaid extra usage, Individual plan</t>
        </is>
      </c>
      <c r="D9" s="27" t="n">
        <v>4.976367</v>
      </c>
      <c r="E9" s="28" t="n">
        <v>14.74</v>
      </c>
      <c r="F9" s="29" t="n"/>
    </row>
    <row r="10">
      <c r="A10" s="14" t="inlineStr">
        <is>
          <t>2026-05-03</t>
        </is>
      </c>
      <c r="B10" s="15" t="inlineStr">
        <is>
          <t>Anthropic</t>
        </is>
      </c>
      <c r="C10" s="15" t="inlineStr">
        <is>
          <t>Auto recharge extra usage, Individual plan</t>
        </is>
      </c>
      <c r="D10" s="25" t="n">
        <v>15.256583</v>
      </c>
      <c r="E10" s="26" t="n">
        <v>45.19</v>
      </c>
      <c r="F10" s="24" t="n"/>
    </row>
    <row r="11">
      <c r="A11" s="10" t="inlineStr">
        <is>
          <t>2026-05-03</t>
        </is>
      </c>
      <c r="B11" s="11" t="inlineStr">
        <is>
          <t>Meta (Ads)</t>
        </is>
      </c>
      <c r="C11" s="11" t="inlineStr">
        <is>
          <t>Facebook Ads</t>
        </is>
      </c>
      <c r="D11" s="27" t="n">
        <v>27.150574</v>
      </c>
      <c r="E11" s="28" t="n">
        <v>80.42</v>
      </c>
      <c r="F11" s="29" t="n"/>
    </row>
    <row r="12">
      <c r="A12" s="14" t="inlineStr">
        <is>
          <t>2026-05-04</t>
        </is>
      </c>
      <c r="B12" s="15" t="inlineStr">
        <is>
          <t>Anthropic</t>
        </is>
      </c>
      <c r="C12" s="15" t="inlineStr">
        <is>
          <t>Auto recharge extra usage, Individual plan</t>
        </is>
      </c>
      <c r="D12" s="25" t="n">
        <v>15.290344</v>
      </c>
      <c r="E12" s="26" t="n">
        <v>45.29</v>
      </c>
      <c r="F12" s="24" t="n"/>
    </row>
    <row r="13">
      <c r="A13" s="10" t="inlineStr">
        <is>
          <t>2026-05-04</t>
        </is>
      </c>
      <c r="B13" s="11" t="inlineStr">
        <is>
          <t>Eleven Labs</t>
        </is>
      </c>
      <c r="C13" s="11" t="inlineStr">
        <is>
          <t>Creator monthly</t>
        </is>
      </c>
      <c r="D13" s="27" t="n">
        <v>21.863606</v>
      </c>
      <c r="E13" s="28" t="n">
        <v>64.76000000000001</v>
      </c>
      <c r="F13" s="29" t="n"/>
    </row>
    <row r="14">
      <c r="A14" s="14" t="inlineStr">
        <is>
          <t>2026-05-16</t>
        </is>
      </c>
      <c r="B14" s="15" t="inlineStr">
        <is>
          <t>OpenAI</t>
        </is>
      </c>
      <c r="C14" s="15" t="inlineStr">
        <is>
          <t>ChatGPT Plus</t>
        </is>
      </c>
      <c r="D14" s="25" t="n">
        <v>20</v>
      </c>
      <c r="E14" s="26" t="n">
        <v>73</v>
      </c>
      <c r="F14" s="24" t="n"/>
    </row>
    <row r="15" ht="24" customHeight="1">
      <c r="A15" s="30" t="inlineStr">
        <is>
          <t>סה"כ חודש"</t>
        </is>
      </c>
      <c r="B15" s="31" t="n"/>
      <c r="C15" s="31" t="n"/>
      <c r="D15" s="20">
        <f>SUM(D4:D14)</f>
        <v/>
      </c>
      <c r="E15" s="21">
        <f>SUM(E4:E14)</f>
        <v/>
      </c>
      <c r="F15" s="31" t="n"/>
    </row>
  </sheetData>
  <mergeCells count="2">
    <mergeCell ref="A15:C1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DC3E6"/>
    <outlinePr summaryBelow="1" summaryRight="1"/>
    <pageSetUpPr/>
  </sheetPr>
  <dimension ref="A1:F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יוני 2026  |  June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2026-06-16</t>
        </is>
      </c>
      <c r="B4" s="15" t="inlineStr">
        <is>
          <t>OpenAI</t>
        </is>
      </c>
      <c r="C4" s="15" t="inlineStr">
        <is>
          <t>ChatGPT Plus</t>
        </is>
      </c>
      <c r="D4" s="25" t="n">
        <v>20</v>
      </c>
      <c r="E4" s="26" t="n">
        <v>73</v>
      </c>
      <c r="F4" s="24" t="n"/>
    </row>
    <row r="5" ht="24" customHeight="1">
      <c r="A5" s="30" t="inlineStr">
        <is>
          <t>סה"כ חודש"</t>
        </is>
      </c>
      <c r="B5" s="31" t="n"/>
      <c r="C5" s="31" t="n"/>
      <c r="D5" s="20">
        <f>SUM(D4:D4)</f>
        <v/>
      </c>
      <c r="E5" s="21">
        <f>SUM(E4:E4)</f>
        <v/>
      </c>
      <c r="F5" s="31" t="n"/>
    </row>
  </sheetData>
  <mergeCells count="2">
    <mergeCell ref="A5:C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DC3E6"/>
    <outlinePr summaryBelow="1" summaryRight="1"/>
    <pageSetUpPr/>
  </sheetPr>
  <dimension ref="A1:F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יולי 2026  |  July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2026-07-16</t>
        </is>
      </c>
      <c r="B4" s="15" t="inlineStr">
        <is>
          <t>OpenAI</t>
        </is>
      </c>
      <c r="C4" s="15" t="inlineStr">
        <is>
          <t>ChatGPT Plus</t>
        </is>
      </c>
      <c r="D4" s="25" t="n">
        <v>20</v>
      </c>
      <c r="E4" s="26" t="n">
        <v>73</v>
      </c>
      <c r="F4" s="24" t="n"/>
    </row>
    <row r="5" ht="24" customHeight="1">
      <c r="A5" s="30" t="inlineStr">
        <is>
          <t>סה"כ חודש"</t>
        </is>
      </c>
      <c r="B5" s="31" t="n"/>
      <c r="C5" s="31" t="n"/>
      <c r="D5" s="20">
        <f>SUM(D4:D4)</f>
        <v/>
      </c>
      <c r="E5" s="21">
        <f>SUM(E4:E4)</f>
        <v/>
      </c>
      <c r="F5" s="31" t="n"/>
    </row>
  </sheetData>
  <mergeCells count="2">
    <mergeCell ref="A5:C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DC3E6"/>
    <outlinePr summaryBelow="1" summaryRight="1"/>
    <pageSetUpPr/>
  </sheetPr>
  <dimension ref="A1:F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אוגוסט 2026  |  August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2026-08-16</t>
        </is>
      </c>
      <c r="B4" s="15" t="inlineStr">
        <is>
          <t>OpenAI</t>
        </is>
      </c>
      <c r="C4" s="15" t="inlineStr">
        <is>
          <t>ChatGPT Plus</t>
        </is>
      </c>
      <c r="D4" s="25" t="n">
        <v>20</v>
      </c>
      <c r="E4" s="26" t="n">
        <v>73</v>
      </c>
      <c r="F4" s="24" t="n"/>
    </row>
    <row r="5" ht="24" customHeight="1">
      <c r="A5" s="30" t="inlineStr">
        <is>
          <t>סה"כ חודש"</t>
        </is>
      </c>
      <c r="B5" s="31" t="n"/>
      <c r="C5" s="31" t="n"/>
      <c r="D5" s="20">
        <f>SUM(D4:D4)</f>
        <v/>
      </c>
      <c r="E5" s="21">
        <f>SUM(E4:E4)</f>
        <v/>
      </c>
      <c r="F5" s="31" t="n"/>
    </row>
  </sheetData>
  <mergeCells count="2">
    <mergeCell ref="A5:C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DC3E6"/>
    <outlinePr summaryBelow="1" summaryRight="1"/>
    <pageSetUpPr/>
  </sheetPr>
  <dimension ref="A1:F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ספטמבר 2026  |  September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2026-09-16</t>
        </is>
      </c>
      <c r="B4" s="15" t="inlineStr">
        <is>
          <t>OpenAI</t>
        </is>
      </c>
      <c r="C4" s="15" t="inlineStr">
        <is>
          <t>ChatGPT Plus</t>
        </is>
      </c>
      <c r="D4" s="25" t="n">
        <v>20</v>
      </c>
      <c r="E4" s="26" t="n">
        <v>73</v>
      </c>
      <c r="F4" s="24" t="n"/>
    </row>
    <row r="5" ht="24" customHeight="1">
      <c r="A5" s="30" t="inlineStr">
        <is>
          <t>סה"כ חודש"</t>
        </is>
      </c>
      <c r="B5" s="31" t="n"/>
      <c r="C5" s="31" t="n"/>
      <c r="D5" s="20">
        <f>SUM(D4:D4)</f>
        <v/>
      </c>
      <c r="E5" s="21">
        <f>SUM(E4:E4)</f>
        <v/>
      </c>
      <c r="F5" s="31" t="n"/>
    </row>
  </sheetData>
  <mergeCells count="2">
    <mergeCell ref="A5:C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DC3E6"/>
    <outlinePr summaryBelow="1" summaryRight="1"/>
    <pageSetUpPr/>
  </sheetPr>
  <dimension ref="A1:F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אוקטובר 2026  |  October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2026-10-16</t>
        </is>
      </c>
      <c r="B4" s="15" t="inlineStr">
        <is>
          <t>OpenAI</t>
        </is>
      </c>
      <c r="C4" s="15" t="inlineStr">
        <is>
          <t>ChatGPT Plus</t>
        </is>
      </c>
      <c r="D4" s="25" t="n">
        <v>20</v>
      </c>
      <c r="E4" s="26" t="n">
        <v>73</v>
      </c>
      <c r="F4" s="24" t="n"/>
    </row>
    <row r="5" ht="24" customHeight="1">
      <c r="A5" s="30" t="inlineStr">
        <is>
          <t>סה"כ חודש"</t>
        </is>
      </c>
      <c r="B5" s="31" t="n"/>
      <c r="C5" s="31" t="n"/>
      <c r="D5" s="20">
        <f>SUM(D4:D4)</f>
        <v/>
      </c>
      <c r="E5" s="21">
        <f>SUM(E4:E4)</f>
        <v/>
      </c>
      <c r="F5" s="31" t="n"/>
    </row>
  </sheetData>
  <mergeCells count="2">
    <mergeCell ref="A5:C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DC3E6"/>
    <outlinePr summaryBelow="1" summaryRight="1"/>
    <pageSetUpPr/>
  </sheetPr>
  <dimension ref="A1:F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נובמבר 2026  |  November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2026-11-16</t>
        </is>
      </c>
      <c r="B4" s="15" t="inlineStr">
        <is>
          <t>OpenAI</t>
        </is>
      </c>
      <c r="C4" s="15" t="inlineStr">
        <is>
          <t>ChatGPT Plus</t>
        </is>
      </c>
      <c r="D4" s="25" t="n">
        <v>20</v>
      </c>
      <c r="E4" s="26" t="n">
        <v>73</v>
      </c>
      <c r="F4" s="24" t="n"/>
    </row>
    <row r="5" ht="24" customHeight="1">
      <c r="A5" s="30" t="inlineStr">
        <is>
          <t>סה"כ חודש"</t>
        </is>
      </c>
      <c r="B5" s="31" t="n"/>
      <c r="C5" s="31" t="n"/>
      <c r="D5" s="20">
        <f>SUM(D4:D4)</f>
        <v/>
      </c>
      <c r="E5" s="21">
        <f>SUM(E4:E4)</f>
        <v/>
      </c>
      <c r="F5" s="31" t="n"/>
    </row>
  </sheetData>
  <mergeCells count="2">
    <mergeCell ref="A5:C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DC3E6"/>
    <outlinePr summaryBelow="1" summaryRight="1"/>
    <pageSetUpPr/>
  </sheetPr>
  <dimension ref="A1:F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40" customWidth="1" min="3" max="3"/>
    <col width="14" customWidth="1" min="4" max="4"/>
    <col width="14" customWidth="1" min="5" max="5"/>
    <col width="6" customWidth="1" min="6" max="6"/>
  </cols>
  <sheetData>
    <row r="1" ht="32" customHeight="1">
      <c r="A1" s="22" t="inlineStr">
        <is>
          <t>דצמבר 2026  |  December 2026</t>
        </is>
      </c>
    </row>
    <row r="2" ht="16" customHeight="1">
      <c r="A2" s="23" t="inlineStr">
        <is>
          <t>← חזרה לסיכום חודשי</t>
        </is>
      </c>
      <c r="B2" s="24" t="n"/>
      <c r="C2" s="24" t="n"/>
      <c r="D2" s="24" t="n"/>
      <c r="E2" s="24" t="n"/>
      <c r="F2" s="24" t="n"/>
    </row>
    <row r="3" ht="22" customHeight="1">
      <c r="A3" s="18" t="inlineStr">
        <is>
          <t>תאריך</t>
        </is>
      </c>
      <c r="B3" s="18" t="inlineStr">
        <is>
          <t>כלי</t>
        </is>
      </c>
      <c r="C3" s="18" t="inlineStr">
        <is>
          <t>תיאור</t>
        </is>
      </c>
      <c r="D3" s="18" t="inlineStr">
        <is>
          <t>סכום ($)</t>
        </is>
      </c>
      <c r="E3" s="18" t="inlineStr">
        <is>
          <t>סכום (₪)</t>
        </is>
      </c>
      <c r="F3" s="18" t="inlineStr"/>
    </row>
    <row r="4">
      <c r="A4" s="14" t="inlineStr">
        <is>
          <t>2026-12-16</t>
        </is>
      </c>
      <c r="B4" s="15" t="inlineStr">
        <is>
          <t>OpenAI</t>
        </is>
      </c>
      <c r="C4" s="15" t="inlineStr">
        <is>
          <t>ChatGPT Plus</t>
        </is>
      </c>
      <c r="D4" s="25" t="n">
        <v>20</v>
      </c>
      <c r="E4" s="26" t="n">
        <v>73</v>
      </c>
      <c r="F4" s="24" t="n"/>
    </row>
    <row r="5" ht="24" customHeight="1">
      <c r="A5" s="30" t="inlineStr">
        <is>
          <t>סה"כ חודש"</t>
        </is>
      </c>
      <c r="B5" s="31" t="n"/>
      <c r="C5" s="31" t="n"/>
      <c r="D5" s="20">
        <f>SUM(D4:D4)</f>
        <v/>
      </c>
      <c r="E5" s="21">
        <f>SUM(E4:E4)</f>
        <v/>
      </c>
      <c r="F5" s="31" t="n"/>
    </row>
  </sheetData>
  <mergeCells count="2">
    <mergeCell ref="A5:C5"/>
    <mergeCell ref="A1:F1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0AD47"/>
    <outlinePr summaryBelow="1" summaryRight="1"/>
    <pageSetUpPr/>
  </sheetPr>
  <dimension ref="A1:AM28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11" customWidth="1" min="4" max="4"/>
    <col width="13" customWidth="1" min="5" max="5"/>
    <col width="11" customWidth="1" min="6" max="6"/>
    <col width="13" customWidth="1" min="7" max="7"/>
    <col width="11" customWidth="1" min="8" max="8"/>
    <col width="13" customWidth="1" min="9" max="9"/>
    <col width="11" customWidth="1" min="10" max="10"/>
    <col width="13" customWidth="1" min="11" max="11"/>
    <col width="11" customWidth="1" min="12" max="12"/>
    <col width="13" customWidth="1" min="13" max="13"/>
    <col width="11" customWidth="1" min="14" max="14"/>
    <col width="13" customWidth="1" min="15" max="15"/>
    <col width="11" customWidth="1" min="16" max="16"/>
    <col width="13" customWidth="1" min="17" max="17"/>
    <col width="11" customWidth="1" min="18" max="18"/>
    <col width="13" customWidth="1" min="19" max="19"/>
    <col width="11" customWidth="1" min="20" max="20"/>
    <col width="13" customWidth="1" min="21" max="21"/>
    <col width="11" customWidth="1" min="22" max="22"/>
    <col width="13" customWidth="1" min="23" max="23"/>
    <col width="11" customWidth="1" min="24" max="24"/>
    <col width="13" customWidth="1" min="25" max="25"/>
    <col width="11" customWidth="1" min="26" max="26"/>
    <col width="13" customWidth="1" min="27" max="27"/>
    <col width="11" customWidth="1" min="28" max="28"/>
    <col width="13" customWidth="1" min="29" max="29"/>
    <col width="11" customWidth="1" min="30" max="30"/>
    <col width="13" customWidth="1" min="31" max="31"/>
    <col width="11" customWidth="1" min="32" max="32"/>
    <col width="13" customWidth="1" min="33" max="33"/>
    <col width="11" customWidth="1" min="34" max="34"/>
    <col width="13" customWidth="1" min="35" max="35"/>
    <col width="11" customWidth="1" min="36" max="36"/>
    <col width="13" customWidth="1" min="37" max="37"/>
    <col width="12" customWidth="1" min="38" max="38"/>
    <col width="14" customWidth="1" min="39" max="39"/>
  </cols>
  <sheetData>
    <row r="1" ht="32" customHeight="1">
      <c r="A1" s="8" t="inlineStr">
        <is>
          <t>סיכום חודשי לפי כלי  |  יולי 2025 – דצמבר 2026</t>
        </is>
      </c>
    </row>
    <row r="2" ht="14" customHeight="1">
      <c r="A2" s="32" t="inlineStr">
        <is>
          <t>לחץ על שם חודש כדי לצפייה בגליון המפורט ↓  |  OpenAI / ChatGPT Plus מתווסף אוטומטית ב-16 לכל חודש</t>
        </is>
      </c>
    </row>
    <row r="3" ht="42" customHeight="1">
      <c r="A3" s="18" t="inlineStr">
        <is>
          <t>כלי</t>
        </is>
      </c>
      <c r="B3" s="33" t="inlineStr">
        <is>
          <t>יולי 2025
(July 2025)</t>
        </is>
      </c>
      <c r="D3" s="33" t="inlineStr">
        <is>
          <t>אוגוסט 2025
(August 2025)</t>
        </is>
      </c>
      <c r="F3" s="33" t="inlineStr">
        <is>
          <t>ספטמבר 2025
(September 2025)</t>
        </is>
      </c>
      <c r="H3" s="33" t="inlineStr">
        <is>
          <t>אוקטובר 2025
(October 2025)</t>
        </is>
      </c>
      <c r="J3" s="33" t="inlineStr">
        <is>
          <t>נובמבר 2025
(November 2025)</t>
        </is>
      </c>
      <c r="L3" s="33" t="inlineStr">
        <is>
          <t>דצמבר 2025
(December 2025)</t>
        </is>
      </c>
      <c r="N3" s="33" t="inlineStr">
        <is>
          <t>ינואר 2026
(January 2026)</t>
        </is>
      </c>
      <c r="P3" s="33" t="inlineStr">
        <is>
          <t>פברואר 2026
(February 2026)</t>
        </is>
      </c>
      <c r="R3" s="33" t="inlineStr">
        <is>
          <t>מרץ 2026
(March 2026)</t>
        </is>
      </c>
      <c r="T3" s="33" t="inlineStr">
        <is>
          <t>אפריל 2026
(April 2026)</t>
        </is>
      </c>
      <c r="V3" s="33" t="inlineStr">
        <is>
          <t>מאי 2026
(May 2026)</t>
        </is>
      </c>
      <c r="X3" s="33" t="inlineStr">
        <is>
          <t>יוני 2026
(June 2026)</t>
        </is>
      </c>
      <c r="Z3" s="33" t="inlineStr">
        <is>
          <t>יולי 2026
(July 2026)</t>
        </is>
      </c>
      <c r="AB3" s="33" t="inlineStr">
        <is>
          <t>אוגוסט 2026
(August 2026)</t>
        </is>
      </c>
      <c r="AD3" s="33" t="inlineStr">
        <is>
          <t>ספטמבר 2026
(September 2026)</t>
        </is>
      </c>
      <c r="AF3" s="33" t="inlineStr">
        <is>
          <t>אוקטובר 2026
(October 2026)</t>
        </is>
      </c>
      <c r="AH3" s="33" t="inlineStr">
        <is>
          <t>נובמבר 2026
(November 2026)</t>
        </is>
      </c>
      <c r="AJ3" s="33" t="inlineStr">
        <is>
          <t>דצמבר 2026
(December 2026)</t>
        </is>
      </c>
      <c r="AL3" s="18" t="inlineStr">
        <is>
          <t>סה"כ ($)</t>
        </is>
      </c>
      <c r="AM3" s="18" t="inlineStr">
        <is>
          <t>סה"כ (₪)</t>
        </is>
      </c>
    </row>
    <row r="4" ht="18" customHeight="1">
      <c r="A4" s="19" t="n"/>
      <c r="B4" s="34" t="inlineStr">
        <is>
          <t>$</t>
        </is>
      </c>
      <c r="C4" s="34" t="inlineStr">
        <is>
          <t>₪</t>
        </is>
      </c>
      <c r="D4" s="34" t="inlineStr">
        <is>
          <t>$</t>
        </is>
      </c>
      <c r="E4" s="34" t="inlineStr">
        <is>
          <t>₪</t>
        </is>
      </c>
      <c r="F4" s="34" t="inlineStr">
        <is>
          <t>$</t>
        </is>
      </c>
      <c r="G4" s="34" t="inlineStr">
        <is>
          <t>₪</t>
        </is>
      </c>
      <c r="H4" s="34" t="inlineStr">
        <is>
          <t>$</t>
        </is>
      </c>
      <c r="I4" s="34" t="inlineStr">
        <is>
          <t>₪</t>
        </is>
      </c>
      <c r="J4" s="34" t="inlineStr">
        <is>
          <t>$</t>
        </is>
      </c>
      <c r="K4" s="34" t="inlineStr">
        <is>
          <t>₪</t>
        </is>
      </c>
      <c r="L4" s="34" t="inlineStr">
        <is>
          <t>$</t>
        </is>
      </c>
      <c r="M4" s="34" t="inlineStr">
        <is>
          <t>₪</t>
        </is>
      </c>
      <c r="N4" s="34" t="inlineStr">
        <is>
          <t>$</t>
        </is>
      </c>
      <c r="O4" s="34" t="inlineStr">
        <is>
          <t>₪</t>
        </is>
      </c>
      <c r="P4" s="34" t="inlineStr">
        <is>
          <t>$</t>
        </is>
      </c>
      <c r="Q4" s="34" t="inlineStr">
        <is>
          <t>₪</t>
        </is>
      </c>
      <c r="R4" s="34" t="inlineStr">
        <is>
          <t>$</t>
        </is>
      </c>
      <c r="S4" s="34" t="inlineStr">
        <is>
          <t>₪</t>
        </is>
      </c>
      <c r="T4" s="34" t="inlineStr">
        <is>
          <t>$</t>
        </is>
      </c>
      <c r="U4" s="34" t="inlineStr">
        <is>
          <t>₪</t>
        </is>
      </c>
      <c r="V4" s="34" t="inlineStr">
        <is>
          <t>$</t>
        </is>
      </c>
      <c r="W4" s="34" t="inlineStr">
        <is>
          <t>₪</t>
        </is>
      </c>
      <c r="X4" s="34" t="inlineStr">
        <is>
          <t>$</t>
        </is>
      </c>
      <c r="Y4" s="34" t="inlineStr">
        <is>
          <t>₪</t>
        </is>
      </c>
      <c r="Z4" s="34" t="inlineStr">
        <is>
          <t>$</t>
        </is>
      </c>
      <c r="AA4" s="34" t="inlineStr">
        <is>
          <t>₪</t>
        </is>
      </c>
      <c r="AB4" s="34" t="inlineStr">
        <is>
          <t>$</t>
        </is>
      </c>
      <c r="AC4" s="34" t="inlineStr">
        <is>
          <t>₪</t>
        </is>
      </c>
      <c r="AD4" s="34" t="inlineStr">
        <is>
          <t>$</t>
        </is>
      </c>
      <c r="AE4" s="34" t="inlineStr">
        <is>
          <t>₪</t>
        </is>
      </c>
      <c r="AF4" s="34" t="inlineStr">
        <is>
          <t>$</t>
        </is>
      </c>
      <c r="AG4" s="34" t="inlineStr">
        <is>
          <t>₪</t>
        </is>
      </c>
      <c r="AH4" s="34" t="inlineStr">
        <is>
          <t>$</t>
        </is>
      </c>
      <c r="AI4" s="34" t="inlineStr">
        <is>
          <t>₪</t>
        </is>
      </c>
      <c r="AJ4" s="34" t="inlineStr">
        <is>
          <t>$</t>
        </is>
      </c>
      <c r="AK4" s="34" t="inlineStr">
        <is>
          <t>₪</t>
        </is>
      </c>
      <c r="AL4" s="35" t="inlineStr">
        <is>
          <t>$</t>
        </is>
      </c>
      <c r="AM4" s="35" t="inlineStr">
        <is>
          <t>₪</t>
        </is>
      </c>
    </row>
    <row r="5">
      <c r="A5" s="36" t="inlineStr">
        <is>
          <t>Anthropic</t>
        </is>
      </c>
      <c r="B5" s="37">
        <f>SUMIFS('כל ההוצאות'!$D:$D,'כל ההוצאות'!$B:$B,"Anthropic",'כל ההוצאות'!$F:$F,"יולי 2025")</f>
        <v/>
      </c>
      <c r="C5" s="38">
        <f>SUMIFS('כל ההוצאות'!$E:$E,'כל ההוצאות'!$B:$B,"Anthropic",'כל ההוצאות'!$F:$F,"יולי 2025")</f>
        <v/>
      </c>
      <c r="D5" s="37">
        <f>SUMIFS('כל ההוצאות'!$D:$D,'כל ההוצאות'!$B:$B,"Anthropic",'כל ההוצאות'!$F:$F,"אוגוסט 2025")</f>
        <v/>
      </c>
      <c r="E5" s="38">
        <f>SUMIFS('כל ההוצאות'!$E:$E,'כל ההוצאות'!$B:$B,"Anthropic",'כל ההוצאות'!$F:$F,"אוגוסט 2025")</f>
        <v/>
      </c>
      <c r="F5" s="37">
        <f>SUMIFS('כל ההוצאות'!$D:$D,'כל ההוצאות'!$B:$B,"Anthropic",'כל ההוצאות'!$F:$F,"ספטמבר 2025")</f>
        <v/>
      </c>
      <c r="G5" s="38">
        <f>SUMIFS('כל ההוצאות'!$E:$E,'כל ההוצאות'!$B:$B,"Anthropic",'כל ההוצאות'!$F:$F,"ספטמבר 2025")</f>
        <v/>
      </c>
      <c r="H5" s="37">
        <f>SUMIFS('כל ההוצאות'!$D:$D,'כל ההוצאות'!$B:$B,"Anthropic",'כל ההוצאות'!$F:$F,"אוקטובר 2025")</f>
        <v/>
      </c>
      <c r="I5" s="38">
        <f>SUMIFS('כל ההוצאות'!$E:$E,'כל ההוצאות'!$B:$B,"Anthropic",'כל ההוצאות'!$F:$F,"אוקטובר 2025")</f>
        <v/>
      </c>
      <c r="J5" s="37">
        <f>SUMIFS('כל ההוצאות'!$D:$D,'כל ההוצאות'!$B:$B,"Anthropic",'כל ההוצאות'!$F:$F,"נובמבר 2025")</f>
        <v/>
      </c>
      <c r="K5" s="38">
        <f>SUMIFS('כל ההוצאות'!$E:$E,'כל ההוצאות'!$B:$B,"Anthropic",'כל ההוצאות'!$F:$F,"נובמבר 2025")</f>
        <v/>
      </c>
      <c r="L5" s="37">
        <f>SUMIFS('כל ההוצאות'!$D:$D,'כל ההוצאות'!$B:$B,"Anthropic",'כל ההוצאות'!$F:$F,"דצמבר 2025")</f>
        <v/>
      </c>
      <c r="M5" s="38">
        <f>SUMIFS('כל ההוצאות'!$E:$E,'כל ההוצאות'!$B:$B,"Anthropic",'כל ההוצאות'!$F:$F,"דצמבר 2025")</f>
        <v/>
      </c>
      <c r="N5" s="37">
        <f>SUMIFS('כל ההוצאות'!$D:$D,'כל ההוצאות'!$B:$B,"Anthropic",'כל ההוצאות'!$F:$F,"ינואר 2026")</f>
        <v/>
      </c>
      <c r="O5" s="38">
        <f>SUMIFS('כל ההוצאות'!$E:$E,'כל ההוצאות'!$B:$B,"Anthropic",'כל ההוצאות'!$F:$F,"ינואר 2026")</f>
        <v/>
      </c>
      <c r="P5" s="37">
        <f>SUMIFS('כל ההוצאות'!$D:$D,'כל ההוצאות'!$B:$B,"Anthropic",'כל ההוצאות'!$F:$F,"פברואר 2026")</f>
        <v/>
      </c>
      <c r="Q5" s="38">
        <f>SUMIFS('כל ההוצאות'!$E:$E,'כל ההוצאות'!$B:$B,"Anthropic",'כל ההוצאות'!$F:$F,"פברואר 2026")</f>
        <v/>
      </c>
      <c r="R5" s="37">
        <f>SUMIFS('כל ההוצאות'!$D:$D,'כל ההוצאות'!$B:$B,"Anthropic",'כל ההוצאות'!$F:$F,"מרץ 2026")</f>
        <v/>
      </c>
      <c r="S5" s="38">
        <f>SUMIFS('כל ההוצאות'!$E:$E,'כל ההוצאות'!$B:$B,"Anthropic",'כל ההוצאות'!$F:$F,"מרץ 2026")</f>
        <v/>
      </c>
      <c r="T5" s="37">
        <f>SUMIFS('כל ההוצאות'!$D:$D,'כל ההוצאות'!$B:$B,"Anthropic",'כל ההוצאות'!$F:$F,"אפריל 2026")</f>
        <v/>
      </c>
      <c r="U5" s="38">
        <f>SUMIFS('כל ההוצאות'!$E:$E,'כל ההוצאות'!$B:$B,"Anthropic",'כל ההוצאות'!$F:$F,"אפריל 2026")</f>
        <v/>
      </c>
      <c r="V5" s="37">
        <f>SUMIFS('כל ההוצאות'!$D:$D,'כל ההוצאות'!$B:$B,"Anthropic",'כל ההוצאות'!$F:$F,"מאי 2026")</f>
        <v/>
      </c>
      <c r="W5" s="38">
        <f>SUMIFS('כל ההוצאות'!$E:$E,'כל ההוצאות'!$B:$B,"Anthropic",'כל ההוצאות'!$F:$F,"מאי 2026")</f>
        <v/>
      </c>
      <c r="X5" s="37">
        <f>SUMIFS('כל ההוצאות'!$D:$D,'כל ההוצאות'!$B:$B,"Anthropic",'כל ההוצאות'!$F:$F,"יוני 2026")</f>
        <v/>
      </c>
      <c r="Y5" s="38">
        <f>SUMIFS('כל ההוצאות'!$E:$E,'כל ההוצאות'!$B:$B,"Anthropic",'כל ההוצאות'!$F:$F,"יוני 2026")</f>
        <v/>
      </c>
      <c r="Z5" s="37">
        <f>SUMIFS('כל ההוצאות'!$D:$D,'כל ההוצאות'!$B:$B,"Anthropic",'כל ההוצאות'!$F:$F,"יולי 2026")</f>
        <v/>
      </c>
      <c r="AA5" s="38">
        <f>SUMIFS('כל ההוצאות'!$E:$E,'כל ההוצאות'!$B:$B,"Anthropic",'כל ההוצאות'!$F:$F,"יולי 2026")</f>
        <v/>
      </c>
      <c r="AB5" s="37">
        <f>SUMIFS('כל ההוצאות'!$D:$D,'כל ההוצאות'!$B:$B,"Anthropic",'כל ההוצאות'!$F:$F,"אוגוסט 2026")</f>
        <v/>
      </c>
      <c r="AC5" s="38">
        <f>SUMIFS('כל ההוצאות'!$E:$E,'כל ההוצאות'!$B:$B,"Anthropic",'כל ההוצאות'!$F:$F,"אוגוסט 2026")</f>
        <v/>
      </c>
      <c r="AD5" s="37">
        <f>SUMIFS('כל ההוצאות'!$D:$D,'כל ההוצאות'!$B:$B,"Anthropic",'כל ההוצאות'!$F:$F,"ספטמבר 2026")</f>
        <v/>
      </c>
      <c r="AE5" s="38">
        <f>SUMIFS('כל ההוצאות'!$E:$E,'כל ההוצאות'!$B:$B,"Anthropic",'כל ההוצאות'!$F:$F,"ספטמבר 2026")</f>
        <v/>
      </c>
      <c r="AF5" s="37">
        <f>SUMIFS('כל ההוצאות'!$D:$D,'כל ההוצאות'!$B:$B,"Anthropic",'כל ההוצאות'!$F:$F,"אוקטובר 2026")</f>
        <v/>
      </c>
      <c r="AG5" s="38">
        <f>SUMIFS('כל ההוצאות'!$E:$E,'כל ההוצאות'!$B:$B,"Anthropic",'כל ההוצאות'!$F:$F,"אוקטובר 2026")</f>
        <v/>
      </c>
      <c r="AH5" s="37">
        <f>SUMIFS('כל ההוצאות'!$D:$D,'כל ההוצאות'!$B:$B,"Anthropic",'כל ההוצאות'!$F:$F,"נובמבר 2026")</f>
        <v/>
      </c>
      <c r="AI5" s="38">
        <f>SUMIFS('כל ההוצאות'!$E:$E,'כל ההוצאות'!$B:$B,"Anthropic",'כל ההוצאות'!$F:$F,"נובמבר 2026")</f>
        <v/>
      </c>
      <c r="AJ5" s="37">
        <f>SUMIFS('כל ההוצאות'!$D:$D,'כל ההוצאות'!$B:$B,"Anthropic",'כל ההוצאות'!$F:$F,"דצמבר 2026")</f>
        <v/>
      </c>
      <c r="AK5" s="38">
        <f>SUMIFS('כל ההוצאות'!$E:$E,'כל ההוצאות'!$B:$B,"Anthropic",'כל ההוצאות'!$F:$F,"דצמבר 2026")</f>
        <v/>
      </c>
      <c r="AL5" s="39">
        <f>SUM(B5,D5,F5,H5,J5,L5,N5,P5,R5,T5,V5,X5,Z5,AB5,AD5,AF5,AH5,AJ5)</f>
        <v/>
      </c>
      <c r="AM5" s="40">
        <f>SUM(C5,E5,G5,I5,K5,M5,O5,Q5,S5,U5,W5,Y5,AA5,AC5,AE5,AG5,AI5,AK5)</f>
        <v/>
      </c>
    </row>
    <row r="6">
      <c r="A6" s="41" t="inlineStr">
        <is>
          <t>Astria</t>
        </is>
      </c>
      <c r="B6" s="42">
        <f>SUMIFS('כל ההוצאות'!$D:$D,'כל ההוצאות'!$B:$B,"Astria",'כל ההוצאות'!$F:$F,"יולי 2025")</f>
        <v/>
      </c>
      <c r="C6" s="43">
        <f>SUMIFS('כל ההוצאות'!$E:$E,'כל ההוצאות'!$B:$B,"Astria",'כל ההוצאות'!$F:$F,"יולי 2025")</f>
        <v/>
      </c>
      <c r="D6" s="42">
        <f>SUMIFS('כל ההוצאות'!$D:$D,'כל ההוצאות'!$B:$B,"Astria",'כל ההוצאות'!$F:$F,"אוגוסט 2025")</f>
        <v/>
      </c>
      <c r="E6" s="43">
        <f>SUMIFS('כל ההוצאות'!$E:$E,'כל ההוצאות'!$B:$B,"Astria",'כל ההוצאות'!$F:$F,"אוגוסט 2025")</f>
        <v/>
      </c>
      <c r="F6" s="42">
        <f>SUMIFS('כל ההוצאות'!$D:$D,'כל ההוצאות'!$B:$B,"Astria",'כל ההוצאות'!$F:$F,"ספטמבר 2025")</f>
        <v/>
      </c>
      <c r="G6" s="43">
        <f>SUMIFS('כל ההוצאות'!$E:$E,'כל ההוצאות'!$B:$B,"Astria",'כל ההוצאות'!$F:$F,"ספטמבר 2025")</f>
        <v/>
      </c>
      <c r="H6" s="42">
        <f>SUMIFS('כל ההוצאות'!$D:$D,'כל ההוצאות'!$B:$B,"Astria",'כל ההוצאות'!$F:$F,"אוקטובר 2025")</f>
        <v/>
      </c>
      <c r="I6" s="43">
        <f>SUMIFS('כל ההוצאות'!$E:$E,'כל ההוצאות'!$B:$B,"Astria",'כל ההוצאות'!$F:$F,"אוקטובר 2025")</f>
        <v/>
      </c>
      <c r="J6" s="42">
        <f>SUMIFS('כל ההוצאות'!$D:$D,'כל ההוצאות'!$B:$B,"Astria",'כל ההוצאות'!$F:$F,"נובמבר 2025")</f>
        <v/>
      </c>
      <c r="K6" s="43">
        <f>SUMIFS('כל ההוצאות'!$E:$E,'כל ההוצאות'!$B:$B,"Astria",'כל ההוצאות'!$F:$F,"נובמבר 2025")</f>
        <v/>
      </c>
      <c r="L6" s="42">
        <f>SUMIFS('כל ההוצאות'!$D:$D,'כל ההוצאות'!$B:$B,"Astria",'כל ההוצאות'!$F:$F,"דצמבר 2025")</f>
        <v/>
      </c>
      <c r="M6" s="43">
        <f>SUMIFS('כל ההוצאות'!$E:$E,'כל ההוצאות'!$B:$B,"Astria",'כל ההוצאות'!$F:$F,"דצמבר 2025")</f>
        <v/>
      </c>
      <c r="N6" s="42">
        <f>SUMIFS('כל ההוצאות'!$D:$D,'כל ההוצאות'!$B:$B,"Astria",'כל ההוצאות'!$F:$F,"ינואר 2026")</f>
        <v/>
      </c>
      <c r="O6" s="43">
        <f>SUMIFS('כל ההוצאות'!$E:$E,'כל ההוצאות'!$B:$B,"Astria",'כל ההוצאות'!$F:$F,"ינואר 2026")</f>
        <v/>
      </c>
      <c r="P6" s="42">
        <f>SUMIFS('כל ההוצאות'!$D:$D,'כל ההוצאות'!$B:$B,"Astria",'כל ההוצאות'!$F:$F,"פברואר 2026")</f>
        <v/>
      </c>
      <c r="Q6" s="43">
        <f>SUMIFS('כל ההוצאות'!$E:$E,'כל ההוצאות'!$B:$B,"Astria",'כל ההוצאות'!$F:$F,"פברואר 2026")</f>
        <v/>
      </c>
      <c r="R6" s="42">
        <f>SUMIFS('כל ההוצאות'!$D:$D,'כל ההוצאות'!$B:$B,"Astria",'כל ההוצאות'!$F:$F,"מרץ 2026")</f>
        <v/>
      </c>
      <c r="S6" s="43">
        <f>SUMIFS('כל ההוצאות'!$E:$E,'כל ההוצאות'!$B:$B,"Astria",'כל ההוצאות'!$F:$F,"מרץ 2026")</f>
        <v/>
      </c>
      <c r="T6" s="42">
        <f>SUMIFS('כל ההוצאות'!$D:$D,'כל ההוצאות'!$B:$B,"Astria",'כל ההוצאות'!$F:$F,"אפריל 2026")</f>
        <v/>
      </c>
      <c r="U6" s="43">
        <f>SUMIFS('כל ההוצאות'!$E:$E,'כל ההוצאות'!$B:$B,"Astria",'כל ההוצאות'!$F:$F,"אפריל 2026")</f>
        <v/>
      </c>
      <c r="V6" s="42">
        <f>SUMIFS('כל ההוצאות'!$D:$D,'כל ההוצאות'!$B:$B,"Astria",'כל ההוצאות'!$F:$F,"מאי 2026")</f>
        <v/>
      </c>
      <c r="W6" s="43">
        <f>SUMIFS('כל ההוצאות'!$E:$E,'כל ההוצאות'!$B:$B,"Astria",'כל ההוצאות'!$F:$F,"מאי 2026")</f>
        <v/>
      </c>
      <c r="X6" s="42">
        <f>SUMIFS('כל ההוצאות'!$D:$D,'כל ההוצאות'!$B:$B,"Astria",'כל ההוצאות'!$F:$F,"יוני 2026")</f>
        <v/>
      </c>
      <c r="Y6" s="43">
        <f>SUMIFS('כל ההוצאות'!$E:$E,'כל ההוצאות'!$B:$B,"Astria",'כל ההוצאות'!$F:$F,"יוני 2026")</f>
        <v/>
      </c>
      <c r="Z6" s="42">
        <f>SUMIFS('כל ההוצאות'!$D:$D,'כל ההוצאות'!$B:$B,"Astria",'כל ההוצאות'!$F:$F,"יולי 2026")</f>
        <v/>
      </c>
      <c r="AA6" s="43">
        <f>SUMIFS('כל ההוצאות'!$E:$E,'כל ההוצאות'!$B:$B,"Astria",'כל ההוצאות'!$F:$F,"יולי 2026")</f>
        <v/>
      </c>
      <c r="AB6" s="42">
        <f>SUMIFS('כל ההוצאות'!$D:$D,'כל ההוצאות'!$B:$B,"Astria",'כל ההוצאות'!$F:$F,"אוגוסט 2026")</f>
        <v/>
      </c>
      <c r="AC6" s="43">
        <f>SUMIFS('כל ההוצאות'!$E:$E,'כל ההוצאות'!$B:$B,"Astria",'כל ההוצאות'!$F:$F,"אוגוסט 2026")</f>
        <v/>
      </c>
      <c r="AD6" s="42">
        <f>SUMIFS('כל ההוצאות'!$D:$D,'כל ההוצאות'!$B:$B,"Astria",'כל ההוצאות'!$F:$F,"ספטמבר 2026")</f>
        <v/>
      </c>
      <c r="AE6" s="43">
        <f>SUMIFS('כל ההוצאות'!$E:$E,'כל ההוצאות'!$B:$B,"Astria",'כל ההוצאות'!$F:$F,"ספטמבר 2026")</f>
        <v/>
      </c>
      <c r="AF6" s="42">
        <f>SUMIFS('כל ההוצאות'!$D:$D,'כל ההוצאות'!$B:$B,"Astria",'כל ההוצאות'!$F:$F,"אוקטובר 2026")</f>
        <v/>
      </c>
      <c r="AG6" s="43">
        <f>SUMIFS('כל ההוצאות'!$E:$E,'כל ההוצאות'!$B:$B,"Astria",'כל ההוצאות'!$F:$F,"אוקטובר 2026")</f>
        <v/>
      </c>
      <c r="AH6" s="42">
        <f>SUMIFS('כל ההוצאות'!$D:$D,'כל ההוצאות'!$B:$B,"Astria",'כל ההוצאות'!$F:$F,"נובמבר 2026")</f>
        <v/>
      </c>
      <c r="AI6" s="43">
        <f>SUMIFS('כל ההוצאות'!$E:$E,'כל ההוצאות'!$B:$B,"Astria",'כל ההוצאות'!$F:$F,"נובמבר 2026")</f>
        <v/>
      </c>
      <c r="AJ6" s="42">
        <f>SUMIFS('כל ההוצאות'!$D:$D,'כל ההוצאות'!$B:$B,"Astria",'כל ההוצאות'!$F:$F,"דצמבר 2026")</f>
        <v/>
      </c>
      <c r="AK6" s="43">
        <f>SUMIFS('כל ההוצאות'!$E:$E,'כל ההוצאות'!$B:$B,"Astria",'כל ההוצאות'!$F:$F,"דצמבר 2026")</f>
        <v/>
      </c>
      <c r="AL6" s="39">
        <f>SUM(B6,D6,F6,H6,J6,L6,N6,P6,R6,T6,V6,X6,Z6,AB6,AD6,AF6,AH6,AJ6)</f>
        <v/>
      </c>
      <c r="AM6" s="40">
        <f>SUM(C6,E6,G6,I6,K6,M6,O6,Q6,S6,U6,W6,Y6,AA6,AC6,AE6,AG6,AI6,AK6)</f>
        <v/>
      </c>
    </row>
    <row r="7">
      <c r="A7" s="36" t="inlineStr">
        <is>
          <t>CapCut</t>
        </is>
      </c>
      <c r="B7" s="37">
        <f>SUMIFS('כל ההוצאות'!$D:$D,'כל ההוצאות'!$B:$B,"CapCut",'כל ההוצאות'!$F:$F,"יולי 2025")</f>
        <v/>
      </c>
      <c r="C7" s="38">
        <f>SUMIFS('כל ההוצאות'!$E:$E,'כל ההוצאות'!$B:$B,"CapCut",'כל ההוצאות'!$F:$F,"יולי 2025")</f>
        <v/>
      </c>
      <c r="D7" s="37">
        <f>SUMIFS('כל ההוצאות'!$D:$D,'כל ההוצאות'!$B:$B,"CapCut",'כל ההוצאות'!$F:$F,"אוגוסט 2025")</f>
        <v/>
      </c>
      <c r="E7" s="38">
        <f>SUMIFS('כל ההוצאות'!$E:$E,'כל ההוצאות'!$B:$B,"CapCut",'כל ההוצאות'!$F:$F,"אוגוסט 2025")</f>
        <v/>
      </c>
      <c r="F7" s="37">
        <f>SUMIFS('כל ההוצאות'!$D:$D,'כל ההוצאות'!$B:$B,"CapCut",'כל ההוצאות'!$F:$F,"ספטמבר 2025")</f>
        <v/>
      </c>
      <c r="G7" s="38">
        <f>SUMIFS('כל ההוצאות'!$E:$E,'כל ההוצאות'!$B:$B,"CapCut",'כל ההוצאות'!$F:$F,"ספטמבר 2025")</f>
        <v/>
      </c>
      <c r="H7" s="37">
        <f>SUMIFS('כל ההוצאות'!$D:$D,'כל ההוצאות'!$B:$B,"CapCut",'כל ההוצאות'!$F:$F,"אוקטובר 2025")</f>
        <v/>
      </c>
      <c r="I7" s="38">
        <f>SUMIFS('כל ההוצאות'!$E:$E,'כל ההוצאות'!$B:$B,"CapCut",'כל ההוצאות'!$F:$F,"אוקטובר 2025")</f>
        <v/>
      </c>
      <c r="J7" s="37">
        <f>SUMIFS('כל ההוצאות'!$D:$D,'כל ההוצאות'!$B:$B,"CapCut",'כל ההוצאות'!$F:$F,"נובמבר 2025")</f>
        <v/>
      </c>
      <c r="K7" s="38">
        <f>SUMIFS('כל ההוצאות'!$E:$E,'כל ההוצאות'!$B:$B,"CapCut",'כל ההוצאות'!$F:$F,"נובמבר 2025")</f>
        <v/>
      </c>
      <c r="L7" s="37">
        <f>SUMIFS('כל ההוצאות'!$D:$D,'כל ההוצאות'!$B:$B,"CapCut",'כל ההוצאות'!$F:$F,"דצמבר 2025")</f>
        <v/>
      </c>
      <c r="M7" s="38">
        <f>SUMIFS('כל ההוצאות'!$E:$E,'כל ההוצאות'!$B:$B,"CapCut",'כל ההוצאות'!$F:$F,"דצמבר 2025")</f>
        <v/>
      </c>
      <c r="N7" s="37">
        <f>SUMIFS('כל ההוצאות'!$D:$D,'כל ההוצאות'!$B:$B,"CapCut",'כל ההוצאות'!$F:$F,"ינואר 2026")</f>
        <v/>
      </c>
      <c r="O7" s="38">
        <f>SUMIFS('כל ההוצאות'!$E:$E,'כל ההוצאות'!$B:$B,"CapCut",'כל ההוצאות'!$F:$F,"ינואר 2026")</f>
        <v/>
      </c>
      <c r="P7" s="37">
        <f>SUMIFS('כל ההוצאות'!$D:$D,'כל ההוצאות'!$B:$B,"CapCut",'כל ההוצאות'!$F:$F,"פברואר 2026")</f>
        <v/>
      </c>
      <c r="Q7" s="38">
        <f>SUMIFS('כל ההוצאות'!$E:$E,'כל ההוצאות'!$B:$B,"CapCut",'כל ההוצאות'!$F:$F,"פברואר 2026")</f>
        <v/>
      </c>
      <c r="R7" s="37">
        <f>SUMIFS('כל ההוצאות'!$D:$D,'כל ההוצאות'!$B:$B,"CapCut",'כל ההוצאות'!$F:$F,"מרץ 2026")</f>
        <v/>
      </c>
      <c r="S7" s="38">
        <f>SUMIFS('כל ההוצאות'!$E:$E,'כל ההוצאות'!$B:$B,"CapCut",'כל ההוצאות'!$F:$F,"מרץ 2026")</f>
        <v/>
      </c>
      <c r="T7" s="37">
        <f>SUMIFS('כל ההוצאות'!$D:$D,'כל ההוצאות'!$B:$B,"CapCut",'כל ההוצאות'!$F:$F,"אפריל 2026")</f>
        <v/>
      </c>
      <c r="U7" s="38">
        <f>SUMIFS('כל ההוצאות'!$E:$E,'כל ההוצאות'!$B:$B,"CapCut",'כל ההוצאות'!$F:$F,"אפריל 2026")</f>
        <v/>
      </c>
      <c r="V7" s="37">
        <f>SUMIFS('כל ההוצאות'!$D:$D,'כל ההוצאות'!$B:$B,"CapCut",'כל ההוצאות'!$F:$F,"מאי 2026")</f>
        <v/>
      </c>
      <c r="W7" s="38">
        <f>SUMIFS('כל ההוצאות'!$E:$E,'כל ההוצאות'!$B:$B,"CapCut",'כל ההוצאות'!$F:$F,"מאי 2026")</f>
        <v/>
      </c>
      <c r="X7" s="37">
        <f>SUMIFS('כל ההוצאות'!$D:$D,'כל ההוצאות'!$B:$B,"CapCut",'כל ההוצאות'!$F:$F,"יוני 2026")</f>
        <v/>
      </c>
      <c r="Y7" s="38">
        <f>SUMIFS('כל ההוצאות'!$E:$E,'כל ההוצאות'!$B:$B,"CapCut",'כל ההוצאות'!$F:$F,"יוני 2026")</f>
        <v/>
      </c>
      <c r="Z7" s="37">
        <f>SUMIFS('כל ההוצאות'!$D:$D,'כל ההוצאות'!$B:$B,"CapCut",'כל ההוצאות'!$F:$F,"יולי 2026")</f>
        <v/>
      </c>
      <c r="AA7" s="38">
        <f>SUMIFS('כל ההוצאות'!$E:$E,'כל ההוצאות'!$B:$B,"CapCut",'כל ההוצאות'!$F:$F,"יולי 2026")</f>
        <v/>
      </c>
      <c r="AB7" s="37">
        <f>SUMIFS('כל ההוצאות'!$D:$D,'כל ההוצאות'!$B:$B,"CapCut",'כל ההוצאות'!$F:$F,"אוגוסט 2026")</f>
        <v/>
      </c>
      <c r="AC7" s="38">
        <f>SUMIFS('כל ההוצאות'!$E:$E,'כל ההוצאות'!$B:$B,"CapCut",'כל ההוצאות'!$F:$F,"אוגוסט 2026")</f>
        <v/>
      </c>
      <c r="AD7" s="37">
        <f>SUMIFS('כל ההוצאות'!$D:$D,'כל ההוצאות'!$B:$B,"CapCut",'כל ההוצאות'!$F:$F,"ספטמבר 2026")</f>
        <v/>
      </c>
      <c r="AE7" s="38">
        <f>SUMIFS('כל ההוצאות'!$E:$E,'כל ההוצאות'!$B:$B,"CapCut",'כל ההוצאות'!$F:$F,"ספטמבר 2026")</f>
        <v/>
      </c>
      <c r="AF7" s="37">
        <f>SUMIFS('כל ההוצאות'!$D:$D,'כל ההוצאות'!$B:$B,"CapCut",'כל ההוצאות'!$F:$F,"אוקטובר 2026")</f>
        <v/>
      </c>
      <c r="AG7" s="38">
        <f>SUMIFS('כל ההוצאות'!$E:$E,'כל ההוצאות'!$B:$B,"CapCut",'כל ההוצאות'!$F:$F,"אוקטובר 2026")</f>
        <v/>
      </c>
      <c r="AH7" s="37">
        <f>SUMIFS('כל ההוצאות'!$D:$D,'כל ההוצאות'!$B:$B,"CapCut",'כל ההוצאות'!$F:$F,"נובמבר 2026")</f>
        <v/>
      </c>
      <c r="AI7" s="38">
        <f>SUMIFS('כל ההוצאות'!$E:$E,'כל ההוצאות'!$B:$B,"CapCut",'כל ההוצאות'!$F:$F,"נובמבר 2026")</f>
        <v/>
      </c>
      <c r="AJ7" s="37">
        <f>SUMIFS('כל ההוצאות'!$D:$D,'כל ההוצאות'!$B:$B,"CapCut",'כל ההוצאות'!$F:$F,"דצמבר 2026")</f>
        <v/>
      </c>
      <c r="AK7" s="38">
        <f>SUMIFS('כל ההוצאות'!$E:$E,'כל ההוצאות'!$B:$B,"CapCut",'כל ההוצאות'!$F:$F,"דצמבר 2026")</f>
        <v/>
      </c>
      <c r="AL7" s="39">
        <f>SUM(B7,D7,F7,H7,J7,L7,N7,P7,R7,T7,V7,X7,Z7,AB7,AD7,AF7,AH7,AJ7)</f>
        <v/>
      </c>
      <c r="AM7" s="40">
        <f>SUM(C7,E7,G7,I7,K7,M7,O7,Q7,S7,U7,W7,Y7,AA7,AC7,AE7,AG7,AI7,AK7)</f>
        <v/>
      </c>
    </row>
    <row r="8">
      <c r="A8" s="41" t="inlineStr">
        <is>
          <t>Dzine</t>
        </is>
      </c>
      <c r="B8" s="42">
        <f>SUMIFS('כל ההוצאות'!$D:$D,'כל ההוצאות'!$B:$B,"Dzine",'כל ההוצאות'!$F:$F,"יולי 2025")</f>
        <v/>
      </c>
      <c r="C8" s="43">
        <f>SUMIFS('כל ההוצאות'!$E:$E,'כל ההוצאות'!$B:$B,"Dzine",'כל ההוצאות'!$F:$F,"יולי 2025")</f>
        <v/>
      </c>
      <c r="D8" s="42">
        <f>SUMIFS('כל ההוצאות'!$D:$D,'כל ההוצאות'!$B:$B,"Dzine",'כל ההוצאות'!$F:$F,"אוגוסט 2025")</f>
        <v/>
      </c>
      <c r="E8" s="43">
        <f>SUMIFS('כל ההוצאות'!$E:$E,'כל ההוצאות'!$B:$B,"Dzine",'כל ההוצאות'!$F:$F,"אוגוסט 2025")</f>
        <v/>
      </c>
      <c r="F8" s="42">
        <f>SUMIFS('כל ההוצאות'!$D:$D,'כל ההוצאות'!$B:$B,"Dzine",'כל ההוצאות'!$F:$F,"ספטמבר 2025")</f>
        <v/>
      </c>
      <c r="G8" s="43">
        <f>SUMIFS('כל ההוצאות'!$E:$E,'כל ההוצאות'!$B:$B,"Dzine",'כל ההוצאות'!$F:$F,"ספטמבר 2025")</f>
        <v/>
      </c>
      <c r="H8" s="42">
        <f>SUMIFS('כל ההוצאות'!$D:$D,'כל ההוצאות'!$B:$B,"Dzine",'כל ההוצאות'!$F:$F,"אוקטובר 2025")</f>
        <v/>
      </c>
      <c r="I8" s="43">
        <f>SUMIFS('כל ההוצאות'!$E:$E,'כל ההוצאות'!$B:$B,"Dzine",'כל ההוצאות'!$F:$F,"אוקטובר 2025")</f>
        <v/>
      </c>
      <c r="J8" s="42">
        <f>SUMIFS('כל ההוצאות'!$D:$D,'כל ההוצאות'!$B:$B,"Dzine",'כל ההוצאות'!$F:$F,"נובמבר 2025")</f>
        <v/>
      </c>
      <c r="K8" s="43">
        <f>SUMIFS('כל ההוצאות'!$E:$E,'כל ההוצאות'!$B:$B,"Dzine",'כל ההוצאות'!$F:$F,"נובמבר 2025")</f>
        <v/>
      </c>
      <c r="L8" s="42">
        <f>SUMIFS('כל ההוצאות'!$D:$D,'כל ההוצאות'!$B:$B,"Dzine",'כל ההוצאות'!$F:$F,"דצמבר 2025")</f>
        <v/>
      </c>
      <c r="M8" s="43">
        <f>SUMIFS('כל ההוצאות'!$E:$E,'כל ההוצאות'!$B:$B,"Dzine",'כל ההוצאות'!$F:$F,"דצמבר 2025")</f>
        <v/>
      </c>
      <c r="N8" s="42">
        <f>SUMIFS('כל ההוצאות'!$D:$D,'כל ההוצאות'!$B:$B,"Dzine",'כל ההוצאות'!$F:$F,"ינואר 2026")</f>
        <v/>
      </c>
      <c r="O8" s="43">
        <f>SUMIFS('כל ההוצאות'!$E:$E,'כל ההוצאות'!$B:$B,"Dzine",'כל ההוצאות'!$F:$F,"ינואר 2026")</f>
        <v/>
      </c>
      <c r="P8" s="42">
        <f>SUMIFS('כל ההוצאות'!$D:$D,'כל ההוצאות'!$B:$B,"Dzine",'כל ההוצאות'!$F:$F,"פברואר 2026")</f>
        <v/>
      </c>
      <c r="Q8" s="43">
        <f>SUMIFS('כל ההוצאות'!$E:$E,'כל ההוצאות'!$B:$B,"Dzine",'כל ההוצאות'!$F:$F,"פברואר 2026")</f>
        <v/>
      </c>
      <c r="R8" s="42">
        <f>SUMIFS('כל ההוצאות'!$D:$D,'כל ההוצאות'!$B:$B,"Dzine",'כל ההוצאות'!$F:$F,"מרץ 2026")</f>
        <v/>
      </c>
      <c r="S8" s="43">
        <f>SUMIFS('כל ההוצאות'!$E:$E,'כל ההוצאות'!$B:$B,"Dzine",'כל ההוצאות'!$F:$F,"מרץ 2026")</f>
        <v/>
      </c>
      <c r="T8" s="42">
        <f>SUMIFS('כל ההוצאות'!$D:$D,'כל ההוצאות'!$B:$B,"Dzine",'כל ההוצאות'!$F:$F,"אפריל 2026")</f>
        <v/>
      </c>
      <c r="U8" s="43">
        <f>SUMIFS('כל ההוצאות'!$E:$E,'כל ההוצאות'!$B:$B,"Dzine",'כל ההוצאות'!$F:$F,"אפריל 2026")</f>
        <v/>
      </c>
      <c r="V8" s="42">
        <f>SUMIFS('כל ההוצאות'!$D:$D,'כל ההוצאות'!$B:$B,"Dzine",'כל ההוצאות'!$F:$F,"מאי 2026")</f>
        <v/>
      </c>
      <c r="W8" s="43">
        <f>SUMIFS('כל ההוצאות'!$E:$E,'כל ההוצאות'!$B:$B,"Dzine",'כל ההוצאות'!$F:$F,"מאי 2026")</f>
        <v/>
      </c>
      <c r="X8" s="42">
        <f>SUMIFS('כל ההוצאות'!$D:$D,'כל ההוצאות'!$B:$B,"Dzine",'כל ההוצאות'!$F:$F,"יוני 2026")</f>
        <v/>
      </c>
      <c r="Y8" s="43">
        <f>SUMIFS('כל ההוצאות'!$E:$E,'כל ההוצאות'!$B:$B,"Dzine",'כל ההוצאות'!$F:$F,"יוני 2026")</f>
        <v/>
      </c>
      <c r="Z8" s="42">
        <f>SUMIFS('כל ההוצאות'!$D:$D,'כל ההוצאות'!$B:$B,"Dzine",'כל ההוצאות'!$F:$F,"יולי 2026")</f>
        <v/>
      </c>
      <c r="AA8" s="43">
        <f>SUMIFS('כל ההוצאות'!$E:$E,'כל ההוצאות'!$B:$B,"Dzine",'כל ההוצאות'!$F:$F,"יולי 2026")</f>
        <v/>
      </c>
      <c r="AB8" s="42">
        <f>SUMIFS('כל ההוצאות'!$D:$D,'כל ההוצאות'!$B:$B,"Dzine",'כל ההוצאות'!$F:$F,"אוגוסט 2026")</f>
        <v/>
      </c>
      <c r="AC8" s="43">
        <f>SUMIFS('כל ההוצאות'!$E:$E,'כל ההוצאות'!$B:$B,"Dzine",'כל ההוצאות'!$F:$F,"אוגוסט 2026")</f>
        <v/>
      </c>
      <c r="AD8" s="42">
        <f>SUMIFS('כל ההוצאות'!$D:$D,'כל ההוצאות'!$B:$B,"Dzine",'כל ההוצאות'!$F:$F,"ספטמבר 2026")</f>
        <v/>
      </c>
      <c r="AE8" s="43">
        <f>SUMIFS('כל ההוצאות'!$E:$E,'כל ההוצאות'!$B:$B,"Dzine",'כל ההוצאות'!$F:$F,"ספטמבר 2026")</f>
        <v/>
      </c>
      <c r="AF8" s="42">
        <f>SUMIFS('כל ההוצאות'!$D:$D,'כל ההוצאות'!$B:$B,"Dzine",'כל ההוצאות'!$F:$F,"אוקטובר 2026")</f>
        <v/>
      </c>
      <c r="AG8" s="43">
        <f>SUMIFS('כל ההוצאות'!$E:$E,'כל ההוצאות'!$B:$B,"Dzine",'כל ההוצאות'!$F:$F,"אוקטובר 2026")</f>
        <v/>
      </c>
      <c r="AH8" s="42">
        <f>SUMIFS('כל ההוצאות'!$D:$D,'כל ההוצאות'!$B:$B,"Dzine",'כל ההוצאות'!$F:$F,"נובמבר 2026")</f>
        <v/>
      </c>
      <c r="AI8" s="43">
        <f>SUMIFS('כל ההוצאות'!$E:$E,'כל ההוצאות'!$B:$B,"Dzine",'כל ההוצאות'!$F:$F,"נובמבר 2026")</f>
        <v/>
      </c>
      <c r="AJ8" s="42">
        <f>SUMIFS('כל ההוצאות'!$D:$D,'כל ההוצאות'!$B:$B,"Dzine",'כל ההוצאות'!$F:$F,"דצמבר 2026")</f>
        <v/>
      </c>
      <c r="AK8" s="43">
        <f>SUMIFS('כל ההוצאות'!$E:$E,'כל ההוצאות'!$B:$B,"Dzine",'כל ההוצאות'!$F:$F,"דצמבר 2026")</f>
        <v/>
      </c>
      <c r="AL8" s="39">
        <f>SUM(B8,D8,F8,H8,J8,L8,N8,P8,R8,T8,V8,X8,Z8,AB8,AD8,AF8,AH8,AJ8)</f>
        <v/>
      </c>
      <c r="AM8" s="40">
        <f>SUM(C8,E8,G8,I8,K8,M8,O8,Q8,S8,U8,W8,Y8,AA8,AC8,AE8,AG8,AI8,AK8)</f>
        <v/>
      </c>
    </row>
    <row r="9">
      <c r="A9" s="36" t="inlineStr">
        <is>
          <t>Eleven Labs</t>
        </is>
      </c>
      <c r="B9" s="37">
        <f>SUMIFS('כל ההוצאות'!$D:$D,'כל ההוצאות'!$B:$B,"Eleven Labs",'כל ההוצאות'!$F:$F,"יולי 2025")</f>
        <v/>
      </c>
      <c r="C9" s="38">
        <f>SUMIFS('כל ההוצאות'!$E:$E,'כל ההוצאות'!$B:$B,"Eleven Labs",'כל ההוצאות'!$F:$F,"יולי 2025")</f>
        <v/>
      </c>
      <c r="D9" s="37">
        <f>SUMIFS('כל ההוצאות'!$D:$D,'כל ההוצאות'!$B:$B,"Eleven Labs",'כל ההוצאות'!$F:$F,"אוגוסט 2025")</f>
        <v/>
      </c>
      <c r="E9" s="38">
        <f>SUMIFS('כל ההוצאות'!$E:$E,'כל ההוצאות'!$B:$B,"Eleven Labs",'כל ההוצאות'!$F:$F,"אוגוסט 2025")</f>
        <v/>
      </c>
      <c r="F9" s="37">
        <f>SUMIFS('כל ההוצאות'!$D:$D,'כל ההוצאות'!$B:$B,"Eleven Labs",'כל ההוצאות'!$F:$F,"ספטמבר 2025")</f>
        <v/>
      </c>
      <c r="G9" s="38">
        <f>SUMIFS('כל ההוצאות'!$E:$E,'כל ההוצאות'!$B:$B,"Eleven Labs",'כל ההוצאות'!$F:$F,"ספטמבר 2025")</f>
        <v/>
      </c>
      <c r="H9" s="37">
        <f>SUMIFS('כל ההוצאות'!$D:$D,'כל ההוצאות'!$B:$B,"Eleven Labs",'כל ההוצאות'!$F:$F,"אוקטובר 2025")</f>
        <v/>
      </c>
      <c r="I9" s="38">
        <f>SUMIFS('כל ההוצאות'!$E:$E,'כל ההוצאות'!$B:$B,"Eleven Labs",'כל ההוצאות'!$F:$F,"אוקטובר 2025")</f>
        <v/>
      </c>
      <c r="J9" s="37">
        <f>SUMIFS('כל ההוצאות'!$D:$D,'כל ההוצאות'!$B:$B,"Eleven Labs",'כל ההוצאות'!$F:$F,"נובמבר 2025")</f>
        <v/>
      </c>
      <c r="K9" s="38">
        <f>SUMIFS('כל ההוצאות'!$E:$E,'כל ההוצאות'!$B:$B,"Eleven Labs",'כל ההוצאות'!$F:$F,"נובמבר 2025")</f>
        <v/>
      </c>
      <c r="L9" s="37">
        <f>SUMIFS('כל ההוצאות'!$D:$D,'כל ההוצאות'!$B:$B,"Eleven Labs",'כל ההוצאות'!$F:$F,"דצמבר 2025")</f>
        <v/>
      </c>
      <c r="M9" s="38">
        <f>SUMIFS('כל ההוצאות'!$E:$E,'כל ההוצאות'!$B:$B,"Eleven Labs",'כל ההוצאות'!$F:$F,"דצמבר 2025")</f>
        <v/>
      </c>
      <c r="N9" s="37">
        <f>SUMIFS('כל ההוצאות'!$D:$D,'כל ההוצאות'!$B:$B,"Eleven Labs",'כל ההוצאות'!$F:$F,"ינואר 2026")</f>
        <v/>
      </c>
      <c r="O9" s="38">
        <f>SUMIFS('כל ההוצאות'!$E:$E,'כל ההוצאות'!$B:$B,"Eleven Labs",'כל ההוצאות'!$F:$F,"ינואר 2026")</f>
        <v/>
      </c>
      <c r="P9" s="37">
        <f>SUMIFS('כל ההוצאות'!$D:$D,'כל ההוצאות'!$B:$B,"Eleven Labs",'כל ההוצאות'!$F:$F,"פברואר 2026")</f>
        <v/>
      </c>
      <c r="Q9" s="38">
        <f>SUMIFS('כל ההוצאות'!$E:$E,'כל ההוצאות'!$B:$B,"Eleven Labs",'כל ההוצאות'!$F:$F,"פברואר 2026")</f>
        <v/>
      </c>
      <c r="R9" s="37">
        <f>SUMIFS('כל ההוצאות'!$D:$D,'כל ההוצאות'!$B:$B,"Eleven Labs",'כל ההוצאות'!$F:$F,"מרץ 2026")</f>
        <v/>
      </c>
      <c r="S9" s="38">
        <f>SUMIFS('כל ההוצאות'!$E:$E,'כל ההוצאות'!$B:$B,"Eleven Labs",'כל ההוצאות'!$F:$F,"מרץ 2026")</f>
        <v/>
      </c>
      <c r="T9" s="37">
        <f>SUMIFS('כל ההוצאות'!$D:$D,'כל ההוצאות'!$B:$B,"Eleven Labs",'כל ההוצאות'!$F:$F,"אפריל 2026")</f>
        <v/>
      </c>
      <c r="U9" s="38">
        <f>SUMIFS('כל ההוצאות'!$E:$E,'כל ההוצאות'!$B:$B,"Eleven Labs",'כל ההוצאות'!$F:$F,"אפריל 2026")</f>
        <v/>
      </c>
      <c r="V9" s="37">
        <f>SUMIFS('כל ההוצאות'!$D:$D,'כל ההוצאות'!$B:$B,"Eleven Labs",'כל ההוצאות'!$F:$F,"מאי 2026")</f>
        <v/>
      </c>
      <c r="W9" s="38">
        <f>SUMIFS('כל ההוצאות'!$E:$E,'כל ההוצאות'!$B:$B,"Eleven Labs",'כל ההוצאות'!$F:$F,"מאי 2026")</f>
        <v/>
      </c>
      <c r="X9" s="37">
        <f>SUMIFS('כל ההוצאות'!$D:$D,'כל ההוצאות'!$B:$B,"Eleven Labs",'כל ההוצאות'!$F:$F,"יוני 2026")</f>
        <v/>
      </c>
      <c r="Y9" s="38">
        <f>SUMIFS('כל ההוצאות'!$E:$E,'כל ההוצאות'!$B:$B,"Eleven Labs",'כל ההוצאות'!$F:$F,"יוני 2026")</f>
        <v/>
      </c>
      <c r="Z9" s="37">
        <f>SUMIFS('כל ההוצאות'!$D:$D,'כל ההוצאות'!$B:$B,"Eleven Labs",'כל ההוצאות'!$F:$F,"יולי 2026")</f>
        <v/>
      </c>
      <c r="AA9" s="38">
        <f>SUMIFS('כל ההוצאות'!$E:$E,'כל ההוצאות'!$B:$B,"Eleven Labs",'כל ההוצאות'!$F:$F,"יולי 2026")</f>
        <v/>
      </c>
      <c r="AB9" s="37">
        <f>SUMIFS('כל ההוצאות'!$D:$D,'כל ההוצאות'!$B:$B,"Eleven Labs",'כל ההוצאות'!$F:$F,"אוגוסט 2026")</f>
        <v/>
      </c>
      <c r="AC9" s="38">
        <f>SUMIFS('כל ההוצאות'!$E:$E,'כל ההוצאות'!$B:$B,"Eleven Labs",'כל ההוצאות'!$F:$F,"אוגוסט 2026")</f>
        <v/>
      </c>
      <c r="AD9" s="37">
        <f>SUMIFS('כל ההוצאות'!$D:$D,'כל ההוצאות'!$B:$B,"Eleven Labs",'כל ההוצאות'!$F:$F,"ספטמבר 2026")</f>
        <v/>
      </c>
      <c r="AE9" s="38">
        <f>SUMIFS('כל ההוצאות'!$E:$E,'כל ההוצאות'!$B:$B,"Eleven Labs",'כל ההוצאות'!$F:$F,"ספטמבר 2026")</f>
        <v/>
      </c>
      <c r="AF9" s="37">
        <f>SUMIFS('כל ההוצאות'!$D:$D,'כל ההוצאות'!$B:$B,"Eleven Labs",'כל ההוצאות'!$F:$F,"אוקטובר 2026")</f>
        <v/>
      </c>
      <c r="AG9" s="38">
        <f>SUMIFS('כל ההוצאות'!$E:$E,'כל ההוצאות'!$B:$B,"Eleven Labs",'כל ההוצאות'!$F:$F,"אוקטובר 2026")</f>
        <v/>
      </c>
      <c r="AH9" s="37">
        <f>SUMIFS('כל ההוצאות'!$D:$D,'כל ההוצאות'!$B:$B,"Eleven Labs",'כל ההוצאות'!$F:$F,"נובמבר 2026")</f>
        <v/>
      </c>
      <c r="AI9" s="38">
        <f>SUMIFS('כל ההוצאות'!$E:$E,'כל ההוצאות'!$B:$B,"Eleven Labs",'כל ההוצאות'!$F:$F,"נובמבר 2026")</f>
        <v/>
      </c>
      <c r="AJ9" s="37">
        <f>SUMIFS('כל ההוצאות'!$D:$D,'כל ההוצאות'!$B:$B,"Eleven Labs",'כל ההוצאות'!$F:$F,"דצמבר 2026")</f>
        <v/>
      </c>
      <c r="AK9" s="38">
        <f>SUMIFS('כל ההוצאות'!$E:$E,'כל ההוצאות'!$B:$B,"Eleven Labs",'כל ההוצאות'!$F:$F,"דצמבר 2026")</f>
        <v/>
      </c>
      <c r="AL9" s="39">
        <f>SUM(B9,D9,F9,H9,J9,L9,N9,P9,R9,T9,V9,X9,Z9,AB9,AD9,AF9,AH9,AJ9)</f>
        <v/>
      </c>
      <c r="AM9" s="40">
        <f>SUM(C9,E9,G9,I9,K9,M9,O9,Q9,S9,U9,W9,Y9,AA9,AC9,AE9,AG9,AI9,AK9)</f>
        <v/>
      </c>
    </row>
    <row r="10">
      <c r="A10" s="41" t="inlineStr">
        <is>
          <t>Genspark</t>
        </is>
      </c>
      <c r="B10" s="42">
        <f>SUMIFS('כל ההוצאות'!$D:$D,'כל ההוצאות'!$B:$B,"Genspark",'כל ההוצאות'!$F:$F,"יולי 2025")</f>
        <v/>
      </c>
      <c r="C10" s="43">
        <f>SUMIFS('כל ההוצאות'!$E:$E,'כל ההוצאות'!$B:$B,"Genspark",'כל ההוצאות'!$F:$F,"יולי 2025")</f>
        <v/>
      </c>
      <c r="D10" s="42">
        <f>SUMIFS('כל ההוצאות'!$D:$D,'כל ההוצאות'!$B:$B,"Genspark",'כל ההוצאות'!$F:$F,"אוגוסט 2025")</f>
        <v/>
      </c>
      <c r="E10" s="43">
        <f>SUMIFS('כל ההוצאות'!$E:$E,'כל ההוצאות'!$B:$B,"Genspark",'כל ההוצאות'!$F:$F,"אוגוסט 2025")</f>
        <v/>
      </c>
      <c r="F10" s="42">
        <f>SUMIFS('כל ההוצאות'!$D:$D,'כל ההוצאות'!$B:$B,"Genspark",'כל ההוצאות'!$F:$F,"ספטמבר 2025")</f>
        <v/>
      </c>
      <c r="G10" s="43">
        <f>SUMIFS('כל ההוצאות'!$E:$E,'כל ההוצאות'!$B:$B,"Genspark",'כל ההוצאות'!$F:$F,"ספטמבר 2025")</f>
        <v/>
      </c>
      <c r="H10" s="42">
        <f>SUMIFS('כל ההוצאות'!$D:$D,'כל ההוצאות'!$B:$B,"Genspark",'כל ההוצאות'!$F:$F,"אוקטובר 2025")</f>
        <v/>
      </c>
      <c r="I10" s="43">
        <f>SUMIFS('כל ההוצאות'!$E:$E,'כל ההוצאות'!$B:$B,"Genspark",'כל ההוצאות'!$F:$F,"אוקטובר 2025")</f>
        <v/>
      </c>
      <c r="J10" s="42">
        <f>SUMIFS('כל ההוצאות'!$D:$D,'כל ההוצאות'!$B:$B,"Genspark",'כל ההוצאות'!$F:$F,"נובמבר 2025")</f>
        <v/>
      </c>
      <c r="K10" s="43">
        <f>SUMIFS('כל ההוצאות'!$E:$E,'כל ההוצאות'!$B:$B,"Genspark",'כל ההוצאות'!$F:$F,"נובמבר 2025")</f>
        <v/>
      </c>
      <c r="L10" s="42">
        <f>SUMIFS('כל ההוצאות'!$D:$D,'כל ההוצאות'!$B:$B,"Genspark",'כל ההוצאות'!$F:$F,"דצמבר 2025")</f>
        <v/>
      </c>
      <c r="M10" s="43">
        <f>SUMIFS('כל ההוצאות'!$E:$E,'כל ההוצאות'!$B:$B,"Genspark",'כל ההוצאות'!$F:$F,"דצמבר 2025")</f>
        <v/>
      </c>
      <c r="N10" s="42">
        <f>SUMIFS('כל ההוצאות'!$D:$D,'כל ההוצאות'!$B:$B,"Genspark",'כל ההוצאות'!$F:$F,"ינואר 2026")</f>
        <v/>
      </c>
      <c r="O10" s="43">
        <f>SUMIFS('כל ההוצאות'!$E:$E,'כל ההוצאות'!$B:$B,"Genspark",'כל ההוצאות'!$F:$F,"ינואר 2026")</f>
        <v/>
      </c>
      <c r="P10" s="42">
        <f>SUMIFS('כל ההוצאות'!$D:$D,'כל ההוצאות'!$B:$B,"Genspark",'כל ההוצאות'!$F:$F,"פברואר 2026")</f>
        <v/>
      </c>
      <c r="Q10" s="43">
        <f>SUMIFS('כל ההוצאות'!$E:$E,'כל ההוצאות'!$B:$B,"Genspark",'כל ההוצאות'!$F:$F,"פברואר 2026")</f>
        <v/>
      </c>
      <c r="R10" s="42">
        <f>SUMIFS('כל ההוצאות'!$D:$D,'כל ההוצאות'!$B:$B,"Genspark",'כל ההוצאות'!$F:$F,"מרץ 2026")</f>
        <v/>
      </c>
      <c r="S10" s="43">
        <f>SUMIFS('כל ההוצאות'!$E:$E,'כל ההוצאות'!$B:$B,"Genspark",'כל ההוצאות'!$F:$F,"מרץ 2026")</f>
        <v/>
      </c>
      <c r="T10" s="42">
        <f>SUMIFS('כל ההוצאות'!$D:$D,'כל ההוצאות'!$B:$B,"Genspark",'כל ההוצאות'!$F:$F,"אפריל 2026")</f>
        <v/>
      </c>
      <c r="U10" s="43">
        <f>SUMIFS('כל ההוצאות'!$E:$E,'כל ההוצאות'!$B:$B,"Genspark",'כל ההוצאות'!$F:$F,"אפריל 2026")</f>
        <v/>
      </c>
      <c r="V10" s="42">
        <f>SUMIFS('כל ההוצאות'!$D:$D,'כל ההוצאות'!$B:$B,"Genspark",'כל ההוצאות'!$F:$F,"מאי 2026")</f>
        <v/>
      </c>
      <c r="W10" s="43">
        <f>SUMIFS('כל ההוצאות'!$E:$E,'כל ההוצאות'!$B:$B,"Genspark",'כל ההוצאות'!$F:$F,"מאי 2026")</f>
        <v/>
      </c>
      <c r="X10" s="42">
        <f>SUMIFS('כל ההוצאות'!$D:$D,'כל ההוצאות'!$B:$B,"Genspark",'כל ההוצאות'!$F:$F,"יוני 2026")</f>
        <v/>
      </c>
      <c r="Y10" s="43">
        <f>SUMIFS('כל ההוצאות'!$E:$E,'כל ההוצאות'!$B:$B,"Genspark",'כל ההוצאות'!$F:$F,"יוני 2026")</f>
        <v/>
      </c>
      <c r="Z10" s="42">
        <f>SUMIFS('כל ההוצאות'!$D:$D,'כל ההוצאות'!$B:$B,"Genspark",'כל ההוצאות'!$F:$F,"יולי 2026")</f>
        <v/>
      </c>
      <c r="AA10" s="43">
        <f>SUMIFS('כל ההוצאות'!$E:$E,'כל ההוצאות'!$B:$B,"Genspark",'כל ההוצאות'!$F:$F,"יולי 2026")</f>
        <v/>
      </c>
      <c r="AB10" s="42">
        <f>SUMIFS('כל ההוצאות'!$D:$D,'כל ההוצאות'!$B:$B,"Genspark",'כל ההוצאות'!$F:$F,"אוגוסט 2026")</f>
        <v/>
      </c>
      <c r="AC10" s="43">
        <f>SUMIFS('כל ההוצאות'!$E:$E,'כל ההוצאות'!$B:$B,"Genspark",'כל ההוצאות'!$F:$F,"אוגוסט 2026")</f>
        <v/>
      </c>
      <c r="AD10" s="42">
        <f>SUMIFS('כל ההוצאות'!$D:$D,'כל ההוצאות'!$B:$B,"Genspark",'כל ההוצאות'!$F:$F,"ספטמבר 2026")</f>
        <v/>
      </c>
      <c r="AE10" s="43">
        <f>SUMIFS('כל ההוצאות'!$E:$E,'כל ההוצאות'!$B:$B,"Genspark",'כל ההוצאות'!$F:$F,"ספטמבר 2026")</f>
        <v/>
      </c>
      <c r="AF10" s="42">
        <f>SUMIFS('כל ההוצאות'!$D:$D,'כל ההוצאות'!$B:$B,"Genspark",'כל ההוצאות'!$F:$F,"אוקטובר 2026")</f>
        <v/>
      </c>
      <c r="AG10" s="43">
        <f>SUMIFS('כל ההוצאות'!$E:$E,'כל ההוצאות'!$B:$B,"Genspark",'כל ההוצאות'!$F:$F,"אוקטובר 2026")</f>
        <v/>
      </c>
      <c r="AH10" s="42">
        <f>SUMIFS('כל ההוצאות'!$D:$D,'כל ההוצאות'!$B:$B,"Genspark",'כל ההוצאות'!$F:$F,"נובמבר 2026")</f>
        <v/>
      </c>
      <c r="AI10" s="43">
        <f>SUMIFS('כל ההוצאות'!$E:$E,'כל ההוצאות'!$B:$B,"Genspark",'כל ההוצאות'!$F:$F,"נובמבר 2026")</f>
        <v/>
      </c>
      <c r="AJ10" s="42">
        <f>SUMIFS('כל ההוצאות'!$D:$D,'כל ההוצאות'!$B:$B,"Genspark",'כל ההוצאות'!$F:$F,"דצמבר 2026")</f>
        <v/>
      </c>
      <c r="AK10" s="43">
        <f>SUMIFS('כל ההוצאות'!$E:$E,'כל ההוצאות'!$B:$B,"Genspark",'כל ההוצאות'!$F:$F,"דצמבר 2026")</f>
        <v/>
      </c>
      <c r="AL10" s="39">
        <f>SUM(B10,D10,F10,H10,J10,L10,N10,P10,R10,T10,V10,X10,Z10,AB10,AD10,AF10,AH10,AJ10)</f>
        <v/>
      </c>
      <c r="AM10" s="40">
        <f>SUM(C10,E10,G10,I10,K10,M10,O10,Q10,S10,U10,W10,Y10,AA10,AC10,AE10,AG10,AI10,AK10)</f>
        <v/>
      </c>
    </row>
    <row r="11">
      <c r="A11" s="36" t="inlineStr">
        <is>
          <t>Google Cloud</t>
        </is>
      </c>
      <c r="B11" s="37">
        <f>SUMIFS('כל ההוצאות'!$D:$D,'כל ההוצאות'!$B:$B,"Google Cloud",'כל ההוצאות'!$F:$F,"יולי 2025")</f>
        <v/>
      </c>
      <c r="C11" s="38">
        <f>SUMIFS('כל ההוצאות'!$E:$E,'כל ההוצאות'!$B:$B,"Google Cloud",'כל ההוצאות'!$F:$F,"יולי 2025")</f>
        <v/>
      </c>
      <c r="D11" s="37">
        <f>SUMIFS('כל ההוצאות'!$D:$D,'כל ההוצאות'!$B:$B,"Google Cloud",'כל ההוצאות'!$F:$F,"אוגוסט 2025")</f>
        <v/>
      </c>
      <c r="E11" s="38">
        <f>SUMIFS('כל ההוצאות'!$E:$E,'כל ההוצאות'!$B:$B,"Google Cloud",'כל ההוצאות'!$F:$F,"אוגוסט 2025")</f>
        <v/>
      </c>
      <c r="F11" s="37">
        <f>SUMIFS('כל ההוצאות'!$D:$D,'כל ההוצאות'!$B:$B,"Google Cloud",'כל ההוצאות'!$F:$F,"ספטמבר 2025")</f>
        <v/>
      </c>
      <c r="G11" s="38">
        <f>SUMIFS('כל ההוצאות'!$E:$E,'כל ההוצאות'!$B:$B,"Google Cloud",'כל ההוצאות'!$F:$F,"ספטמבר 2025")</f>
        <v/>
      </c>
      <c r="H11" s="37">
        <f>SUMIFS('כל ההוצאות'!$D:$D,'כל ההוצאות'!$B:$B,"Google Cloud",'כל ההוצאות'!$F:$F,"אוקטובר 2025")</f>
        <v/>
      </c>
      <c r="I11" s="38">
        <f>SUMIFS('כל ההוצאות'!$E:$E,'כל ההוצאות'!$B:$B,"Google Cloud",'כל ההוצאות'!$F:$F,"אוקטובר 2025")</f>
        <v/>
      </c>
      <c r="J11" s="37">
        <f>SUMIFS('כל ההוצאות'!$D:$D,'כל ההוצאות'!$B:$B,"Google Cloud",'כל ההוצאות'!$F:$F,"נובמבר 2025")</f>
        <v/>
      </c>
      <c r="K11" s="38">
        <f>SUMIFS('כל ההוצאות'!$E:$E,'כל ההוצאות'!$B:$B,"Google Cloud",'כל ההוצאות'!$F:$F,"נובמבר 2025")</f>
        <v/>
      </c>
      <c r="L11" s="37">
        <f>SUMIFS('כל ההוצאות'!$D:$D,'כל ההוצאות'!$B:$B,"Google Cloud",'כל ההוצאות'!$F:$F,"דצמבר 2025")</f>
        <v/>
      </c>
      <c r="M11" s="38">
        <f>SUMIFS('כל ההוצאות'!$E:$E,'כל ההוצאות'!$B:$B,"Google Cloud",'כל ההוצאות'!$F:$F,"דצמבר 2025")</f>
        <v/>
      </c>
      <c r="N11" s="37">
        <f>SUMIFS('כל ההוצאות'!$D:$D,'כל ההוצאות'!$B:$B,"Google Cloud",'כל ההוצאות'!$F:$F,"ינואר 2026")</f>
        <v/>
      </c>
      <c r="O11" s="38">
        <f>SUMIFS('כל ההוצאות'!$E:$E,'כל ההוצאות'!$B:$B,"Google Cloud",'כל ההוצאות'!$F:$F,"ינואר 2026")</f>
        <v/>
      </c>
      <c r="P11" s="37">
        <f>SUMIFS('כל ההוצאות'!$D:$D,'כל ההוצאות'!$B:$B,"Google Cloud",'כל ההוצאות'!$F:$F,"פברואר 2026")</f>
        <v/>
      </c>
      <c r="Q11" s="38">
        <f>SUMIFS('כל ההוצאות'!$E:$E,'כל ההוצאות'!$B:$B,"Google Cloud",'כל ההוצאות'!$F:$F,"פברואר 2026")</f>
        <v/>
      </c>
      <c r="R11" s="37">
        <f>SUMIFS('כל ההוצאות'!$D:$D,'כל ההוצאות'!$B:$B,"Google Cloud",'כל ההוצאות'!$F:$F,"מרץ 2026")</f>
        <v/>
      </c>
      <c r="S11" s="38">
        <f>SUMIFS('כל ההוצאות'!$E:$E,'כל ההוצאות'!$B:$B,"Google Cloud",'כל ההוצאות'!$F:$F,"מרץ 2026")</f>
        <v/>
      </c>
      <c r="T11" s="37">
        <f>SUMIFS('כל ההוצאות'!$D:$D,'כל ההוצאות'!$B:$B,"Google Cloud",'כל ההוצאות'!$F:$F,"אפריל 2026")</f>
        <v/>
      </c>
      <c r="U11" s="38">
        <f>SUMIFS('כל ההוצאות'!$E:$E,'כל ההוצאות'!$B:$B,"Google Cloud",'כל ההוצאות'!$F:$F,"אפריל 2026")</f>
        <v/>
      </c>
      <c r="V11" s="37">
        <f>SUMIFS('כל ההוצאות'!$D:$D,'כל ההוצאות'!$B:$B,"Google Cloud",'כל ההוצאות'!$F:$F,"מאי 2026")</f>
        <v/>
      </c>
      <c r="W11" s="38">
        <f>SUMIFS('כל ההוצאות'!$E:$E,'כל ההוצאות'!$B:$B,"Google Cloud",'כל ההוצאות'!$F:$F,"מאי 2026")</f>
        <v/>
      </c>
      <c r="X11" s="37">
        <f>SUMIFS('כל ההוצאות'!$D:$D,'כל ההוצאות'!$B:$B,"Google Cloud",'כל ההוצאות'!$F:$F,"יוני 2026")</f>
        <v/>
      </c>
      <c r="Y11" s="38">
        <f>SUMIFS('כל ההוצאות'!$E:$E,'כל ההוצאות'!$B:$B,"Google Cloud",'כל ההוצאות'!$F:$F,"יוני 2026")</f>
        <v/>
      </c>
      <c r="Z11" s="37">
        <f>SUMIFS('כל ההוצאות'!$D:$D,'כל ההוצאות'!$B:$B,"Google Cloud",'כל ההוצאות'!$F:$F,"יולי 2026")</f>
        <v/>
      </c>
      <c r="AA11" s="38">
        <f>SUMIFS('כל ההוצאות'!$E:$E,'כל ההוצאות'!$B:$B,"Google Cloud",'כל ההוצאות'!$F:$F,"יולי 2026")</f>
        <v/>
      </c>
      <c r="AB11" s="37">
        <f>SUMIFS('כל ההוצאות'!$D:$D,'כל ההוצאות'!$B:$B,"Google Cloud",'כל ההוצאות'!$F:$F,"אוגוסט 2026")</f>
        <v/>
      </c>
      <c r="AC11" s="38">
        <f>SUMIFS('כל ההוצאות'!$E:$E,'כל ההוצאות'!$B:$B,"Google Cloud",'כל ההוצאות'!$F:$F,"אוגוסט 2026")</f>
        <v/>
      </c>
      <c r="AD11" s="37">
        <f>SUMIFS('כל ההוצאות'!$D:$D,'כל ההוצאות'!$B:$B,"Google Cloud",'כל ההוצאות'!$F:$F,"ספטמבר 2026")</f>
        <v/>
      </c>
      <c r="AE11" s="38">
        <f>SUMIFS('כל ההוצאות'!$E:$E,'כל ההוצאות'!$B:$B,"Google Cloud",'כל ההוצאות'!$F:$F,"ספטמבר 2026")</f>
        <v/>
      </c>
      <c r="AF11" s="37">
        <f>SUMIFS('כל ההוצאות'!$D:$D,'כל ההוצאות'!$B:$B,"Google Cloud",'כל ההוצאות'!$F:$F,"אוקטובר 2026")</f>
        <v/>
      </c>
      <c r="AG11" s="38">
        <f>SUMIFS('כל ההוצאות'!$E:$E,'כל ההוצאות'!$B:$B,"Google Cloud",'כל ההוצאות'!$F:$F,"אוקטובר 2026")</f>
        <v/>
      </c>
      <c r="AH11" s="37">
        <f>SUMIFS('כל ההוצאות'!$D:$D,'כל ההוצאות'!$B:$B,"Google Cloud",'כל ההוצאות'!$F:$F,"נובמבר 2026")</f>
        <v/>
      </c>
      <c r="AI11" s="38">
        <f>SUMIFS('כל ההוצאות'!$E:$E,'כל ההוצאות'!$B:$B,"Google Cloud",'כל ההוצאות'!$F:$F,"נובמבר 2026")</f>
        <v/>
      </c>
      <c r="AJ11" s="37">
        <f>SUMIFS('כל ההוצאות'!$D:$D,'כל ההוצאות'!$B:$B,"Google Cloud",'כל ההוצאות'!$F:$F,"דצמבר 2026")</f>
        <v/>
      </c>
      <c r="AK11" s="38">
        <f>SUMIFS('כל ההוצאות'!$E:$E,'כל ההוצאות'!$B:$B,"Google Cloud",'כל ההוצאות'!$F:$F,"דצמבר 2026")</f>
        <v/>
      </c>
      <c r="AL11" s="39">
        <f>SUM(B11,D11,F11,H11,J11,L11,N11,P11,R11,T11,V11,X11,Z11,AB11,AD11,AF11,AH11,AJ11)</f>
        <v/>
      </c>
      <c r="AM11" s="40">
        <f>SUM(C11,E11,G11,I11,K11,M11,O11,Q11,S11,U11,W11,Y11,AA11,AC11,AE11,AG11,AI11,AK11)</f>
        <v/>
      </c>
    </row>
    <row r="12">
      <c r="A12" s="41" t="inlineStr">
        <is>
          <t>Google Workspace</t>
        </is>
      </c>
      <c r="B12" s="42">
        <f>SUMIFS('כל ההוצאות'!$D:$D,'כל ההוצאות'!$B:$B,"Google Workspace",'כל ההוצאות'!$F:$F,"יולי 2025")</f>
        <v/>
      </c>
      <c r="C12" s="43">
        <f>SUMIFS('כל ההוצאות'!$E:$E,'כל ההוצאות'!$B:$B,"Google Workspace",'כל ההוצאות'!$F:$F,"יולי 2025")</f>
        <v/>
      </c>
      <c r="D12" s="42">
        <f>SUMIFS('כל ההוצאות'!$D:$D,'כל ההוצאות'!$B:$B,"Google Workspace",'כל ההוצאות'!$F:$F,"אוגוסט 2025")</f>
        <v/>
      </c>
      <c r="E12" s="43">
        <f>SUMIFS('כל ההוצאות'!$E:$E,'כל ההוצאות'!$B:$B,"Google Workspace",'כל ההוצאות'!$F:$F,"אוגוסט 2025")</f>
        <v/>
      </c>
      <c r="F12" s="42">
        <f>SUMIFS('כל ההוצאות'!$D:$D,'כל ההוצאות'!$B:$B,"Google Workspace",'כל ההוצאות'!$F:$F,"ספטמבר 2025")</f>
        <v/>
      </c>
      <c r="G12" s="43">
        <f>SUMIFS('כל ההוצאות'!$E:$E,'כל ההוצאות'!$B:$B,"Google Workspace",'כל ההוצאות'!$F:$F,"ספטמבר 2025")</f>
        <v/>
      </c>
      <c r="H12" s="42">
        <f>SUMIFS('כל ההוצאות'!$D:$D,'כל ההוצאות'!$B:$B,"Google Workspace",'כל ההוצאות'!$F:$F,"אוקטובר 2025")</f>
        <v/>
      </c>
      <c r="I12" s="43">
        <f>SUMIFS('כל ההוצאות'!$E:$E,'כל ההוצאות'!$B:$B,"Google Workspace",'כל ההוצאות'!$F:$F,"אוקטובר 2025")</f>
        <v/>
      </c>
      <c r="J12" s="42">
        <f>SUMIFS('כל ההוצאות'!$D:$D,'כל ההוצאות'!$B:$B,"Google Workspace",'כל ההוצאות'!$F:$F,"נובמבר 2025")</f>
        <v/>
      </c>
      <c r="K12" s="43">
        <f>SUMIFS('כל ההוצאות'!$E:$E,'כל ההוצאות'!$B:$B,"Google Workspace",'כל ההוצאות'!$F:$F,"נובמבר 2025")</f>
        <v/>
      </c>
      <c r="L12" s="42">
        <f>SUMIFS('כל ההוצאות'!$D:$D,'כל ההוצאות'!$B:$B,"Google Workspace",'כל ההוצאות'!$F:$F,"דצמבר 2025")</f>
        <v/>
      </c>
      <c r="M12" s="43">
        <f>SUMIFS('כל ההוצאות'!$E:$E,'כל ההוצאות'!$B:$B,"Google Workspace",'כל ההוצאות'!$F:$F,"דצמבר 2025")</f>
        <v/>
      </c>
      <c r="N12" s="42">
        <f>SUMIFS('כל ההוצאות'!$D:$D,'כל ההוצאות'!$B:$B,"Google Workspace",'כל ההוצאות'!$F:$F,"ינואר 2026")</f>
        <v/>
      </c>
      <c r="O12" s="43">
        <f>SUMIFS('כל ההוצאות'!$E:$E,'כל ההוצאות'!$B:$B,"Google Workspace",'כל ההוצאות'!$F:$F,"ינואר 2026")</f>
        <v/>
      </c>
      <c r="P12" s="42">
        <f>SUMIFS('כל ההוצאות'!$D:$D,'כל ההוצאות'!$B:$B,"Google Workspace",'כל ההוצאות'!$F:$F,"פברואר 2026")</f>
        <v/>
      </c>
      <c r="Q12" s="43">
        <f>SUMIFS('כל ההוצאות'!$E:$E,'כל ההוצאות'!$B:$B,"Google Workspace",'כל ההוצאות'!$F:$F,"פברואר 2026")</f>
        <v/>
      </c>
      <c r="R12" s="42">
        <f>SUMIFS('כל ההוצאות'!$D:$D,'כל ההוצאות'!$B:$B,"Google Workspace",'כל ההוצאות'!$F:$F,"מרץ 2026")</f>
        <v/>
      </c>
      <c r="S12" s="43">
        <f>SUMIFS('כל ההוצאות'!$E:$E,'כל ההוצאות'!$B:$B,"Google Workspace",'כל ההוצאות'!$F:$F,"מרץ 2026")</f>
        <v/>
      </c>
      <c r="T12" s="42">
        <f>SUMIFS('כל ההוצאות'!$D:$D,'כל ההוצאות'!$B:$B,"Google Workspace",'כל ההוצאות'!$F:$F,"אפריל 2026")</f>
        <v/>
      </c>
      <c r="U12" s="43">
        <f>SUMIFS('כל ההוצאות'!$E:$E,'כל ההוצאות'!$B:$B,"Google Workspace",'כל ההוצאות'!$F:$F,"אפריל 2026")</f>
        <v/>
      </c>
      <c r="V12" s="42">
        <f>SUMIFS('כל ההוצאות'!$D:$D,'כל ההוצאות'!$B:$B,"Google Workspace",'כל ההוצאות'!$F:$F,"מאי 2026")</f>
        <v/>
      </c>
      <c r="W12" s="43">
        <f>SUMIFS('כל ההוצאות'!$E:$E,'כל ההוצאות'!$B:$B,"Google Workspace",'כל ההוצאות'!$F:$F,"מאי 2026")</f>
        <v/>
      </c>
      <c r="X12" s="42">
        <f>SUMIFS('כל ההוצאות'!$D:$D,'כל ההוצאות'!$B:$B,"Google Workspace",'כל ההוצאות'!$F:$F,"יוני 2026")</f>
        <v/>
      </c>
      <c r="Y12" s="43">
        <f>SUMIFS('כל ההוצאות'!$E:$E,'כל ההוצאות'!$B:$B,"Google Workspace",'כל ההוצאות'!$F:$F,"יוני 2026")</f>
        <v/>
      </c>
      <c r="Z12" s="42">
        <f>SUMIFS('כל ההוצאות'!$D:$D,'כל ההוצאות'!$B:$B,"Google Workspace",'כל ההוצאות'!$F:$F,"יולי 2026")</f>
        <v/>
      </c>
      <c r="AA12" s="43">
        <f>SUMIFS('כל ההוצאות'!$E:$E,'כל ההוצאות'!$B:$B,"Google Workspace",'כל ההוצאות'!$F:$F,"יולי 2026")</f>
        <v/>
      </c>
      <c r="AB12" s="42">
        <f>SUMIFS('כל ההוצאות'!$D:$D,'כל ההוצאות'!$B:$B,"Google Workspace",'כל ההוצאות'!$F:$F,"אוגוסט 2026")</f>
        <v/>
      </c>
      <c r="AC12" s="43">
        <f>SUMIFS('כל ההוצאות'!$E:$E,'כל ההוצאות'!$B:$B,"Google Workspace",'כל ההוצאות'!$F:$F,"אוגוסט 2026")</f>
        <v/>
      </c>
      <c r="AD12" s="42">
        <f>SUMIFS('כל ההוצאות'!$D:$D,'כל ההוצאות'!$B:$B,"Google Workspace",'כל ההוצאות'!$F:$F,"ספטמבר 2026")</f>
        <v/>
      </c>
      <c r="AE12" s="43">
        <f>SUMIFS('כל ההוצאות'!$E:$E,'כל ההוצאות'!$B:$B,"Google Workspace",'כל ההוצאות'!$F:$F,"ספטמבר 2026")</f>
        <v/>
      </c>
      <c r="AF12" s="42">
        <f>SUMIFS('כל ההוצאות'!$D:$D,'כל ההוצאות'!$B:$B,"Google Workspace",'כל ההוצאות'!$F:$F,"אוקטובר 2026")</f>
        <v/>
      </c>
      <c r="AG12" s="43">
        <f>SUMIFS('כל ההוצאות'!$E:$E,'כל ההוצאות'!$B:$B,"Google Workspace",'כל ההוצאות'!$F:$F,"אוקטובר 2026")</f>
        <v/>
      </c>
      <c r="AH12" s="42">
        <f>SUMIFS('כל ההוצאות'!$D:$D,'כל ההוצאות'!$B:$B,"Google Workspace",'כל ההוצאות'!$F:$F,"נובמבר 2026")</f>
        <v/>
      </c>
      <c r="AI12" s="43">
        <f>SUMIFS('כל ההוצאות'!$E:$E,'כל ההוצאות'!$B:$B,"Google Workspace",'כל ההוצאות'!$F:$F,"נובמבר 2026")</f>
        <v/>
      </c>
      <c r="AJ12" s="42">
        <f>SUMIFS('כל ההוצאות'!$D:$D,'כל ההוצאות'!$B:$B,"Google Workspace",'כל ההוצאות'!$F:$F,"דצמבר 2026")</f>
        <v/>
      </c>
      <c r="AK12" s="43">
        <f>SUMIFS('כל ההוצאות'!$E:$E,'כל ההוצאות'!$B:$B,"Google Workspace",'כל ההוצאות'!$F:$F,"דצמבר 2026")</f>
        <v/>
      </c>
      <c r="AL12" s="39">
        <f>SUM(B12,D12,F12,H12,J12,L12,N12,P12,R12,T12,V12,X12,Z12,AB12,AD12,AF12,AH12,AJ12)</f>
        <v/>
      </c>
      <c r="AM12" s="40">
        <f>SUM(C12,E12,G12,I12,K12,M12,O12,Q12,S12,U12,W12,Y12,AA12,AC12,AE12,AG12,AI12,AK12)</f>
        <v/>
      </c>
    </row>
    <row r="13">
      <c r="A13" s="36" t="inlineStr">
        <is>
          <t>Hedra</t>
        </is>
      </c>
      <c r="B13" s="37">
        <f>SUMIFS('כל ההוצאות'!$D:$D,'כל ההוצאות'!$B:$B,"Hedra",'כל ההוצאות'!$F:$F,"יולי 2025")</f>
        <v/>
      </c>
      <c r="C13" s="38">
        <f>SUMIFS('כל ההוצאות'!$E:$E,'כל ההוצאות'!$B:$B,"Hedra",'כל ההוצאות'!$F:$F,"יולי 2025")</f>
        <v/>
      </c>
      <c r="D13" s="37">
        <f>SUMIFS('כל ההוצאות'!$D:$D,'כל ההוצאות'!$B:$B,"Hedra",'כל ההוצאות'!$F:$F,"אוגוסט 2025")</f>
        <v/>
      </c>
      <c r="E13" s="38">
        <f>SUMIFS('כל ההוצאות'!$E:$E,'כל ההוצאות'!$B:$B,"Hedra",'כל ההוצאות'!$F:$F,"אוגוסט 2025")</f>
        <v/>
      </c>
      <c r="F13" s="37">
        <f>SUMIFS('כל ההוצאות'!$D:$D,'כל ההוצאות'!$B:$B,"Hedra",'כל ההוצאות'!$F:$F,"ספטמבר 2025")</f>
        <v/>
      </c>
      <c r="G13" s="38">
        <f>SUMIFS('כל ההוצאות'!$E:$E,'כל ההוצאות'!$B:$B,"Hedra",'כל ההוצאות'!$F:$F,"ספטמבר 2025")</f>
        <v/>
      </c>
      <c r="H13" s="37">
        <f>SUMIFS('כל ההוצאות'!$D:$D,'כל ההוצאות'!$B:$B,"Hedra",'כל ההוצאות'!$F:$F,"אוקטובר 2025")</f>
        <v/>
      </c>
      <c r="I13" s="38">
        <f>SUMIFS('כל ההוצאות'!$E:$E,'כל ההוצאות'!$B:$B,"Hedra",'כל ההוצאות'!$F:$F,"אוקטובר 2025")</f>
        <v/>
      </c>
      <c r="J13" s="37">
        <f>SUMIFS('כל ההוצאות'!$D:$D,'כל ההוצאות'!$B:$B,"Hedra",'כל ההוצאות'!$F:$F,"נובמבר 2025")</f>
        <v/>
      </c>
      <c r="K13" s="38">
        <f>SUMIFS('כל ההוצאות'!$E:$E,'כל ההוצאות'!$B:$B,"Hedra",'כל ההוצאות'!$F:$F,"נובמבר 2025")</f>
        <v/>
      </c>
      <c r="L13" s="37">
        <f>SUMIFS('כל ההוצאות'!$D:$D,'כל ההוצאות'!$B:$B,"Hedra",'כל ההוצאות'!$F:$F,"דצמבר 2025")</f>
        <v/>
      </c>
      <c r="M13" s="38">
        <f>SUMIFS('כל ההוצאות'!$E:$E,'כל ההוצאות'!$B:$B,"Hedra",'כל ההוצאות'!$F:$F,"דצמבר 2025")</f>
        <v/>
      </c>
      <c r="N13" s="37">
        <f>SUMIFS('כל ההוצאות'!$D:$D,'כל ההוצאות'!$B:$B,"Hedra",'כל ההוצאות'!$F:$F,"ינואר 2026")</f>
        <v/>
      </c>
      <c r="O13" s="38">
        <f>SUMIFS('כל ההוצאות'!$E:$E,'כל ההוצאות'!$B:$B,"Hedra",'כל ההוצאות'!$F:$F,"ינואר 2026")</f>
        <v/>
      </c>
      <c r="P13" s="37">
        <f>SUMIFS('כל ההוצאות'!$D:$D,'כל ההוצאות'!$B:$B,"Hedra",'כל ההוצאות'!$F:$F,"פברואר 2026")</f>
        <v/>
      </c>
      <c r="Q13" s="38">
        <f>SUMIFS('כל ההוצאות'!$E:$E,'כל ההוצאות'!$B:$B,"Hedra",'כל ההוצאות'!$F:$F,"פברואר 2026")</f>
        <v/>
      </c>
      <c r="R13" s="37">
        <f>SUMIFS('כל ההוצאות'!$D:$D,'כל ההוצאות'!$B:$B,"Hedra",'כל ההוצאות'!$F:$F,"מרץ 2026")</f>
        <v/>
      </c>
      <c r="S13" s="38">
        <f>SUMIFS('כל ההוצאות'!$E:$E,'כל ההוצאות'!$B:$B,"Hedra",'כל ההוצאות'!$F:$F,"מרץ 2026")</f>
        <v/>
      </c>
      <c r="T13" s="37">
        <f>SUMIFS('כל ההוצאות'!$D:$D,'כל ההוצאות'!$B:$B,"Hedra",'כל ההוצאות'!$F:$F,"אפריל 2026")</f>
        <v/>
      </c>
      <c r="U13" s="38">
        <f>SUMIFS('כל ההוצאות'!$E:$E,'כל ההוצאות'!$B:$B,"Hedra",'כל ההוצאות'!$F:$F,"אפריל 2026")</f>
        <v/>
      </c>
      <c r="V13" s="37">
        <f>SUMIFS('כל ההוצאות'!$D:$D,'כל ההוצאות'!$B:$B,"Hedra",'כל ההוצאות'!$F:$F,"מאי 2026")</f>
        <v/>
      </c>
      <c r="W13" s="38">
        <f>SUMIFS('כל ההוצאות'!$E:$E,'כל ההוצאות'!$B:$B,"Hedra",'כל ההוצאות'!$F:$F,"מאי 2026")</f>
        <v/>
      </c>
      <c r="X13" s="37">
        <f>SUMIFS('כל ההוצאות'!$D:$D,'כל ההוצאות'!$B:$B,"Hedra",'כל ההוצאות'!$F:$F,"יוני 2026")</f>
        <v/>
      </c>
      <c r="Y13" s="38">
        <f>SUMIFS('כל ההוצאות'!$E:$E,'כל ההוצאות'!$B:$B,"Hedra",'כל ההוצאות'!$F:$F,"יוני 2026")</f>
        <v/>
      </c>
      <c r="Z13" s="37">
        <f>SUMIFS('כל ההוצאות'!$D:$D,'כל ההוצאות'!$B:$B,"Hedra",'כל ההוצאות'!$F:$F,"יולי 2026")</f>
        <v/>
      </c>
      <c r="AA13" s="38">
        <f>SUMIFS('כל ההוצאות'!$E:$E,'כל ההוצאות'!$B:$B,"Hedra",'כל ההוצאות'!$F:$F,"יולי 2026")</f>
        <v/>
      </c>
      <c r="AB13" s="37">
        <f>SUMIFS('כל ההוצאות'!$D:$D,'כל ההוצאות'!$B:$B,"Hedra",'כל ההוצאות'!$F:$F,"אוגוסט 2026")</f>
        <v/>
      </c>
      <c r="AC13" s="38">
        <f>SUMIFS('כל ההוצאות'!$E:$E,'כל ההוצאות'!$B:$B,"Hedra",'כל ההוצאות'!$F:$F,"אוגוסט 2026")</f>
        <v/>
      </c>
      <c r="AD13" s="37">
        <f>SUMIFS('כל ההוצאות'!$D:$D,'כל ההוצאות'!$B:$B,"Hedra",'כל ההוצאות'!$F:$F,"ספטמבר 2026")</f>
        <v/>
      </c>
      <c r="AE13" s="38">
        <f>SUMIFS('כל ההוצאות'!$E:$E,'כל ההוצאות'!$B:$B,"Hedra",'כל ההוצאות'!$F:$F,"ספטמבר 2026")</f>
        <v/>
      </c>
      <c r="AF13" s="37">
        <f>SUMIFS('כל ההוצאות'!$D:$D,'כל ההוצאות'!$B:$B,"Hedra",'כל ההוצאות'!$F:$F,"אוקטובר 2026")</f>
        <v/>
      </c>
      <c r="AG13" s="38">
        <f>SUMIFS('כל ההוצאות'!$E:$E,'כל ההוצאות'!$B:$B,"Hedra",'כל ההוצאות'!$F:$F,"אוקטובר 2026")</f>
        <v/>
      </c>
      <c r="AH13" s="37">
        <f>SUMIFS('כל ההוצאות'!$D:$D,'כל ההוצאות'!$B:$B,"Hedra",'כל ההוצאות'!$F:$F,"נובמבר 2026")</f>
        <v/>
      </c>
      <c r="AI13" s="38">
        <f>SUMIFS('כל ההוצאות'!$E:$E,'כל ההוצאות'!$B:$B,"Hedra",'כל ההוצאות'!$F:$F,"נובמבר 2026")</f>
        <v/>
      </c>
      <c r="AJ13" s="37">
        <f>SUMIFS('כל ההוצאות'!$D:$D,'כל ההוצאות'!$B:$B,"Hedra",'כל ההוצאות'!$F:$F,"דצמבר 2026")</f>
        <v/>
      </c>
      <c r="AK13" s="38">
        <f>SUMIFS('כל ההוצאות'!$E:$E,'כל ההוצאות'!$B:$B,"Hedra",'כל ההוצאות'!$F:$F,"דצמבר 2026")</f>
        <v/>
      </c>
      <c r="AL13" s="39">
        <f>SUM(B13,D13,F13,H13,J13,L13,N13,P13,R13,T13,V13,X13,Z13,AB13,AD13,AF13,AH13,AJ13)</f>
        <v/>
      </c>
      <c r="AM13" s="40">
        <f>SUM(C13,E13,G13,I13,K13,M13,O13,Q13,S13,U13,W13,Y13,AA13,AC13,AE13,AG13,AI13,AK13)</f>
        <v/>
      </c>
    </row>
    <row r="14">
      <c r="A14" s="41" t="inlineStr">
        <is>
          <t>Higgsfield</t>
        </is>
      </c>
      <c r="B14" s="42">
        <f>SUMIFS('כל ההוצאות'!$D:$D,'כל ההוצאות'!$B:$B,"Higgsfield",'כל ההוצאות'!$F:$F,"יולי 2025")</f>
        <v/>
      </c>
      <c r="C14" s="43">
        <f>SUMIFS('כל ההוצאות'!$E:$E,'כל ההוצאות'!$B:$B,"Higgsfield",'כל ההוצאות'!$F:$F,"יולי 2025")</f>
        <v/>
      </c>
      <c r="D14" s="42">
        <f>SUMIFS('כל ההוצאות'!$D:$D,'כל ההוצאות'!$B:$B,"Higgsfield",'כל ההוצאות'!$F:$F,"אוגוסט 2025")</f>
        <v/>
      </c>
      <c r="E14" s="43">
        <f>SUMIFS('כל ההוצאות'!$E:$E,'כל ההוצאות'!$B:$B,"Higgsfield",'כל ההוצאות'!$F:$F,"אוגוסט 2025")</f>
        <v/>
      </c>
      <c r="F14" s="42">
        <f>SUMIFS('כל ההוצאות'!$D:$D,'כל ההוצאות'!$B:$B,"Higgsfield",'כל ההוצאות'!$F:$F,"ספטמבר 2025")</f>
        <v/>
      </c>
      <c r="G14" s="43">
        <f>SUMIFS('כל ההוצאות'!$E:$E,'כל ההוצאות'!$B:$B,"Higgsfield",'כל ההוצאות'!$F:$F,"ספטמבר 2025")</f>
        <v/>
      </c>
      <c r="H14" s="42">
        <f>SUMIFS('כל ההוצאות'!$D:$D,'כל ההוצאות'!$B:$B,"Higgsfield",'כל ההוצאות'!$F:$F,"אוקטובר 2025")</f>
        <v/>
      </c>
      <c r="I14" s="43">
        <f>SUMIFS('כל ההוצאות'!$E:$E,'כל ההוצאות'!$B:$B,"Higgsfield",'כל ההוצאות'!$F:$F,"אוקטובר 2025")</f>
        <v/>
      </c>
      <c r="J14" s="42">
        <f>SUMIFS('כל ההוצאות'!$D:$D,'כל ההוצאות'!$B:$B,"Higgsfield",'כל ההוצאות'!$F:$F,"נובמבר 2025")</f>
        <v/>
      </c>
      <c r="K14" s="43">
        <f>SUMIFS('כל ההוצאות'!$E:$E,'כל ההוצאות'!$B:$B,"Higgsfield",'כל ההוצאות'!$F:$F,"נובמבר 2025")</f>
        <v/>
      </c>
      <c r="L14" s="42">
        <f>SUMIFS('כל ההוצאות'!$D:$D,'כל ההוצאות'!$B:$B,"Higgsfield",'כל ההוצאות'!$F:$F,"דצמבר 2025")</f>
        <v/>
      </c>
      <c r="M14" s="43">
        <f>SUMIFS('כל ההוצאות'!$E:$E,'כל ההוצאות'!$B:$B,"Higgsfield",'כל ההוצאות'!$F:$F,"דצמבר 2025")</f>
        <v/>
      </c>
      <c r="N14" s="42">
        <f>SUMIFS('כל ההוצאות'!$D:$D,'כל ההוצאות'!$B:$B,"Higgsfield",'כל ההוצאות'!$F:$F,"ינואר 2026")</f>
        <v/>
      </c>
      <c r="O14" s="43">
        <f>SUMIFS('כל ההוצאות'!$E:$E,'כל ההוצאות'!$B:$B,"Higgsfield",'כל ההוצאות'!$F:$F,"ינואר 2026")</f>
        <v/>
      </c>
      <c r="P14" s="42">
        <f>SUMIFS('כל ההוצאות'!$D:$D,'כל ההוצאות'!$B:$B,"Higgsfield",'כל ההוצאות'!$F:$F,"פברואר 2026")</f>
        <v/>
      </c>
      <c r="Q14" s="43">
        <f>SUMIFS('כל ההוצאות'!$E:$E,'כל ההוצאות'!$B:$B,"Higgsfield",'כל ההוצאות'!$F:$F,"פברואר 2026")</f>
        <v/>
      </c>
      <c r="R14" s="42">
        <f>SUMIFS('כל ההוצאות'!$D:$D,'כל ההוצאות'!$B:$B,"Higgsfield",'כל ההוצאות'!$F:$F,"מרץ 2026")</f>
        <v/>
      </c>
      <c r="S14" s="43">
        <f>SUMIFS('כל ההוצאות'!$E:$E,'כל ההוצאות'!$B:$B,"Higgsfield",'כל ההוצאות'!$F:$F,"מרץ 2026")</f>
        <v/>
      </c>
      <c r="T14" s="42">
        <f>SUMIFS('כל ההוצאות'!$D:$D,'כל ההוצאות'!$B:$B,"Higgsfield",'כל ההוצאות'!$F:$F,"אפריל 2026")</f>
        <v/>
      </c>
      <c r="U14" s="43">
        <f>SUMIFS('כל ההוצאות'!$E:$E,'כל ההוצאות'!$B:$B,"Higgsfield",'כל ההוצאות'!$F:$F,"אפריל 2026")</f>
        <v/>
      </c>
      <c r="V14" s="42">
        <f>SUMIFS('כל ההוצאות'!$D:$D,'כל ההוצאות'!$B:$B,"Higgsfield",'כל ההוצאות'!$F:$F,"מאי 2026")</f>
        <v/>
      </c>
      <c r="W14" s="43">
        <f>SUMIFS('כל ההוצאות'!$E:$E,'כל ההוצאות'!$B:$B,"Higgsfield",'כל ההוצאות'!$F:$F,"מאי 2026")</f>
        <v/>
      </c>
      <c r="X14" s="42">
        <f>SUMIFS('כל ההוצאות'!$D:$D,'כל ההוצאות'!$B:$B,"Higgsfield",'כל ההוצאות'!$F:$F,"יוני 2026")</f>
        <v/>
      </c>
      <c r="Y14" s="43">
        <f>SUMIFS('כל ההוצאות'!$E:$E,'כל ההוצאות'!$B:$B,"Higgsfield",'כל ההוצאות'!$F:$F,"יוני 2026")</f>
        <v/>
      </c>
      <c r="Z14" s="42">
        <f>SUMIFS('כל ההוצאות'!$D:$D,'כל ההוצאות'!$B:$B,"Higgsfield",'כל ההוצאות'!$F:$F,"יולי 2026")</f>
        <v/>
      </c>
      <c r="AA14" s="43">
        <f>SUMIFS('כל ההוצאות'!$E:$E,'כל ההוצאות'!$B:$B,"Higgsfield",'כל ההוצאות'!$F:$F,"יולי 2026")</f>
        <v/>
      </c>
      <c r="AB14" s="42">
        <f>SUMIFS('כל ההוצאות'!$D:$D,'כל ההוצאות'!$B:$B,"Higgsfield",'כל ההוצאות'!$F:$F,"אוגוסט 2026")</f>
        <v/>
      </c>
      <c r="AC14" s="43">
        <f>SUMIFS('כל ההוצאות'!$E:$E,'כל ההוצאות'!$B:$B,"Higgsfield",'כל ההוצאות'!$F:$F,"אוגוסט 2026")</f>
        <v/>
      </c>
      <c r="AD14" s="42">
        <f>SUMIFS('כל ההוצאות'!$D:$D,'כל ההוצאות'!$B:$B,"Higgsfield",'כל ההוצאות'!$F:$F,"ספטמבר 2026")</f>
        <v/>
      </c>
      <c r="AE14" s="43">
        <f>SUMIFS('כל ההוצאות'!$E:$E,'כל ההוצאות'!$B:$B,"Higgsfield",'כל ההוצאות'!$F:$F,"ספטמבר 2026")</f>
        <v/>
      </c>
      <c r="AF14" s="42">
        <f>SUMIFS('כל ההוצאות'!$D:$D,'כל ההוצאות'!$B:$B,"Higgsfield",'כל ההוצאות'!$F:$F,"אוקטובר 2026")</f>
        <v/>
      </c>
      <c r="AG14" s="43">
        <f>SUMIFS('כל ההוצאות'!$E:$E,'כל ההוצאות'!$B:$B,"Higgsfield",'כל ההוצאות'!$F:$F,"אוקטובר 2026")</f>
        <v/>
      </c>
      <c r="AH14" s="42">
        <f>SUMIFS('כל ההוצאות'!$D:$D,'כל ההוצאות'!$B:$B,"Higgsfield",'כל ההוצאות'!$F:$F,"נובמבר 2026")</f>
        <v/>
      </c>
      <c r="AI14" s="43">
        <f>SUMIFS('כל ההוצאות'!$E:$E,'כל ההוצאות'!$B:$B,"Higgsfield",'כל ההוצאות'!$F:$F,"נובמבר 2026")</f>
        <v/>
      </c>
      <c r="AJ14" s="42">
        <f>SUMIFS('כל ההוצאות'!$D:$D,'כל ההוצאות'!$B:$B,"Higgsfield",'כל ההוצאות'!$F:$F,"דצמבר 2026")</f>
        <v/>
      </c>
      <c r="AK14" s="43">
        <f>SUMIFS('כל ההוצאות'!$E:$E,'כל ההוצאות'!$B:$B,"Higgsfield",'כל ההוצאות'!$F:$F,"דצמבר 2026")</f>
        <v/>
      </c>
      <c r="AL14" s="39">
        <f>SUM(B14,D14,F14,H14,J14,L14,N14,P14,R14,T14,V14,X14,Z14,AB14,AD14,AF14,AH14,AJ14)</f>
        <v/>
      </c>
      <c r="AM14" s="40">
        <f>SUM(C14,E14,G14,I14,K14,M14,O14,Q14,S14,U14,W14,Y14,AA14,AC14,AE14,AG14,AI14,AK14)</f>
        <v/>
      </c>
    </row>
    <row r="15">
      <c r="A15" s="36" t="inlineStr">
        <is>
          <t>IONOS</t>
        </is>
      </c>
      <c r="B15" s="37">
        <f>SUMIFS('כל ההוצאות'!$D:$D,'כל ההוצאות'!$B:$B,"IONOS",'כל ההוצאות'!$F:$F,"יולי 2025")</f>
        <v/>
      </c>
      <c r="C15" s="38">
        <f>SUMIFS('כל ההוצאות'!$E:$E,'כל ההוצאות'!$B:$B,"IONOS",'כל ההוצאות'!$F:$F,"יולי 2025")</f>
        <v/>
      </c>
      <c r="D15" s="37">
        <f>SUMIFS('כל ההוצאות'!$D:$D,'כל ההוצאות'!$B:$B,"IONOS",'כל ההוצאות'!$F:$F,"אוגוסט 2025")</f>
        <v/>
      </c>
      <c r="E15" s="38">
        <f>SUMIFS('כל ההוצאות'!$E:$E,'כל ההוצאות'!$B:$B,"IONOS",'כל ההוצאות'!$F:$F,"אוגוסט 2025")</f>
        <v/>
      </c>
      <c r="F15" s="37">
        <f>SUMIFS('כל ההוצאות'!$D:$D,'כל ההוצאות'!$B:$B,"IONOS",'כל ההוצאות'!$F:$F,"ספטמבר 2025")</f>
        <v/>
      </c>
      <c r="G15" s="38">
        <f>SUMIFS('כל ההוצאות'!$E:$E,'כל ההוצאות'!$B:$B,"IONOS",'כל ההוצאות'!$F:$F,"ספטמבר 2025")</f>
        <v/>
      </c>
      <c r="H15" s="37">
        <f>SUMIFS('כל ההוצאות'!$D:$D,'כל ההוצאות'!$B:$B,"IONOS",'כל ההוצאות'!$F:$F,"אוקטובר 2025")</f>
        <v/>
      </c>
      <c r="I15" s="38">
        <f>SUMIFS('כל ההוצאות'!$E:$E,'כל ההוצאות'!$B:$B,"IONOS",'כל ההוצאות'!$F:$F,"אוקטובר 2025")</f>
        <v/>
      </c>
      <c r="J15" s="37">
        <f>SUMIFS('כל ההוצאות'!$D:$D,'כל ההוצאות'!$B:$B,"IONOS",'כל ההוצאות'!$F:$F,"נובמבר 2025")</f>
        <v/>
      </c>
      <c r="K15" s="38">
        <f>SUMIFS('כל ההוצאות'!$E:$E,'כל ההוצאות'!$B:$B,"IONOS",'כל ההוצאות'!$F:$F,"נובמבר 2025")</f>
        <v/>
      </c>
      <c r="L15" s="37">
        <f>SUMIFS('כל ההוצאות'!$D:$D,'כל ההוצאות'!$B:$B,"IONOS",'כל ההוצאות'!$F:$F,"דצמבר 2025")</f>
        <v/>
      </c>
      <c r="M15" s="38">
        <f>SUMIFS('כל ההוצאות'!$E:$E,'כל ההוצאות'!$B:$B,"IONOS",'כל ההוצאות'!$F:$F,"דצמבר 2025")</f>
        <v/>
      </c>
      <c r="N15" s="37">
        <f>SUMIFS('כל ההוצאות'!$D:$D,'כל ההוצאות'!$B:$B,"IONOS",'כל ההוצאות'!$F:$F,"ינואר 2026")</f>
        <v/>
      </c>
      <c r="O15" s="38">
        <f>SUMIFS('כל ההוצאות'!$E:$E,'כל ההוצאות'!$B:$B,"IONOS",'כל ההוצאות'!$F:$F,"ינואר 2026")</f>
        <v/>
      </c>
      <c r="P15" s="37">
        <f>SUMIFS('כל ההוצאות'!$D:$D,'כל ההוצאות'!$B:$B,"IONOS",'כל ההוצאות'!$F:$F,"פברואר 2026")</f>
        <v/>
      </c>
      <c r="Q15" s="38">
        <f>SUMIFS('כל ההוצאות'!$E:$E,'כל ההוצאות'!$B:$B,"IONOS",'כל ההוצאות'!$F:$F,"פברואר 2026")</f>
        <v/>
      </c>
      <c r="R15" s="37">
        <f>SUMIFS('כל ההוצאות'!$D:$D,'כל ההוצאות'!$B:$B,"IONOS",'כל ההוצאות'!$F:$F,"מרץ 2026")</f>
        <v/>
      </c>
      <c r="S15" s="38">
        <f>SUMIFS('כל ההוצאות'!$E:$E,'כל ההוצאות'!$B:$B,"IONOS",'כל ההוצאות'!$F:$F,"מרץ 2026")</f>
        <v/>
      </c>
      <c r="T15" s="37">
        <f>SUMIFS('כל ההוצאות'!$D:$D,'כל ההוצאות'!$B:$B,"IONOS",'כל ההוצאות'!$F:$F,"אפריל 2026")</f>
        <v/>
      </c>
      <c r="U15" s="38">
        <f>SUMIFS('כל ההוצאות'!$E:$E,'כל ההוצאות'!$B:$B,"IONOS",'כל ההוצאות'!$F:$F,"אפריל 2026")</f>
        <v/>
      </c>
      <c r="V15" s="37">
        <f>SUMIFS('כל ההוצאות'!$D:$D,'כל ההוצאות'!$B:$B,"IONOS",'כל ההוצאות'!$F:$F,"מאי 2026")</f>
        <v/>
      </c>
      <c r="W15" s="38">
        <f>SUMIFS('כל ההוצאות'!$E:$E,'כל ההוצאות'!$B:$B,"IONOS",'כל ההוצאות'!$F:$F,"מאי 2026")</f>
        <v/>
      </c>
      <c r="X15" s="37">
        <f>SUMIFS('כל ההוצאות'!$D:$D,'כל ההוצאות'!$B:$B,"IONOS",'כל ההוצאות'!$F:$F,"יוני 2026")</f>
        <v/>
      </c>
      <c r="Y15" s="38">
        <f>SUMIFS('כל ההוצאות'!$E:$E,'כל ההוצאות'!$B:$B,"IONOS",'כל ההוצאות'!$F:$F,"יוני 2026")</f>
        <v/>
      </c>
      <c r="Z15" s="37">
        <f>SUMIFS('כל ההוצאות'!$D:$D,'כל ההוצאות'!$B:$B,"IONOS",'כל ההוצאות'!$F:$F,"יולי 2026")</f>
        <v/>
      </c>
      <c r="AA15" s="38">
        <f>SUMIFS('כל ההוצאות'!$E:$E,'כל ההוצאות'!$B:$B,"IONOS",'כל ההוצאות'!$F:$F,"יולי 2026")</f>
        <v/>
      </c>
      <c r="AB15" s="37">
        <f>SUMIFS('כל ההוצאות'!$D:$D,'כל ההוצאות'!$B:$B,"IONOS",'כל ההוצאות'!$F:$F,"אוגוסט 2026")</f>
        <v/>
      </c>
      <c r="AC15" s="38">
        <f>SUMIFS('כל ההוצאות'!$E:$E,'כל ההוצאות'!$B:$B,"IONOS",'כל ההוצאות'!$F:$F,"אוגוסט 2026")</f>
        <v/>
      </c>
      <c r="AD15" s="37">
        <f>SUMIFS('כל ההוצאות'!$D:$D,'כל ההוצאות'!$B:$B,"IONOS",'כל ההוצאות'!$F:$F,"ספטמבר 2026")</f>
        <v/>
      </c>
      <c r="AE15" s="38">
        <f>SUMIFS('כל ההוצאות'!$E:$E,'כל ההוצאות'!$B:$B,"IONOS",'כל ההוצאות'!$F:$F,"ספטמבר 2026")</f>
        <v/>
      </c>
      <c r="AF15" s="37">
        <f>SUMIFS('כל ההוצאות'!$D:$D,'כל ההוצאות'!$B:$B,"IONOS",'כל ההוצאות'!$F:$F,"אוקטובר 2026")</f>
        <v/>
      </c>
      <c r="AG15" s="38">
        <f>SUMIFS('כל ההוצאות'!$E:$E,'כל ההוצאות'!$B:$B,"IONOS",'כל ההוצאות'!$F:$F,"אוקטובר 2026")</f>
        <v/>
      </c>
      <c r="AH15" s="37">
        <f>SUMIFS('כל ההוצאות'!$D:$D,'כל ההוצאות'!$B:$B,"IONOS",'כל ההוצאות'!$F:$F,"נובמבר 2026")</f>
        <v/>
      </c>
      <c r="AI15" s="38">
        <f>SUMIFS('כל ההוצאות'!$E:$E,'כל ההוצאות'!$B:$B,"IONOS",'כל ההוצאות'!$F:$F,"נובמבר 2026")</f>
        <v/>
      </c>
      <c r="AJ15" s="37">
        <f>SUMIFS('כל ההוצאות'!$D:$D,'כל ההוצאות'!$B:$B,"IONOS",'כל ההוצאות'!$F:$F,"דצמבר 2026")</f>
        <v/>
      </c>
      <c r="AK15" s="38">
        <f>SUMIFS('כל ההוצאות'!$E:$E,'כל ההוצאות'!$B:$B,"IONOS",'כל ההוצאות'!$F:$F,"דצמבר 2026")</f>
        <v/>
      </c>
      <c r="AL15" s="39">
        <f>SUM(B15,D15,F15,H15,J15,L15,N15,P15,R15,T15,V15,X15,Z15,AB15,AD15,AF15,AH15,AJ15)</f>
        <v/>
      </c>
      <c r="AM15" s="40">
        <f>SUM(C15,E15,G15,I15,K15,M15,O15,Q15,S15,U15,W15,Y15,AA15,AC15,AE15,AG15,AI15,AK15)</f>
        <v/>
      </c>
    </row>
    <row r="16">
      <c r="A16" s="41" t="inlineStr">
        <is>
          <t>Ideogram AI</t>
        </is>
      </c>
      <c r="B16" s="42">
        <f>SUMIFS('כל ההוצאות'!$D:$D,'כל ההוצאות'!$B:$B,"Ideogram AI",'כל ההוצאות'!$F:$F,"יולי 2025")</f>
        <v/>
      </c>
      <c r="C16" s="43">
        <f>SUMIFS('כל ההוצאות'!$E:$E,'כל ההוצאות'!$B:$B,"Ideogram AI",'כל ההוצאות'!$F:$F,"יולי 2025")</f>
        <v/>
      </c>
      <c r="D16" s="42">
        <f>SUMIFS('כל ההוצאות'!$D:$D,'כל ההוצאות'!$B:$B,"Ideogram AI",'כל ההוצאות'!$F:$F,"אוגוסט 2025")</f>
        <v/>
      </c>
      <c r="E16" s="43">
        <f>SUMIFS('כל ההוצאות'!$E:$E,'כל ההוצאות'!$B:$B,"Ideogram AI",'כל ההוצאות'!$F:$F,"אוגוסט 2025")</f>
        <v/>
      </c>
      <c r="F16" s="42">
        <f>SUMIFS('כל ההוצאות'!$D:$D,'כל ההוצאות'!$B:$B,"Ideogram AI",'כל ההוצאות'!$F:$F,"ספטמבר 2025")</f>
        <v/>
      </c>
      <c r="G16" s="43">
        <f>SUMIFS('כל ההוצאות'!$E:$E,'כל ההוצאות'!$B:$B,"Ideogram AI",'כל ההוצאות'!$F:$F,"ספטמבר 2025")</f>
        <v/>
      </c>
      <c r="H16" s="42">
        <f>SUMIFS('כל ההוצאות'!$D:$D,'כל ההוצאות'!$B:$B,"Ideogram AI",'כל ההוצאות'!$F:$F,"אוקטובר 2025")</f>
        <v/>
      </c>
      <c r="I16" s="43">
        <f>SUMIFS('כל ההוצאות'!$E:$E,'כל ההוצאות'!$B:$B,"Ideogram AI",'כל ההוצאות'!$F:$F,"אוקטובר 2025")</f>
        <v/>
      </c>
      <c r="J16" s="42">
        <f>SUMIFS('כל ההוצאות'!$D:$D,'כל ההוצאות'!$B:$B,"Ideogram AI",'כל ההוצאות'!$F:$F,"נובמבר 2025")</f>
        <v/>
      </c>
      <c r="K16" s="43">
        <f>SUMIFS('כל ההוצאות'!$E:$E,'כל ההוצאות'!$B:$B,"Ideogram AI",'כל ההוצאות'!$F:$F,"נובמבר 2025")</f>
        <v/>
      </c>
      <c r="L16" s="42">
        <f>SUMIFS('כל ההוצאות'!$D:$D,'כל ההוצאות'!$B:$B,"Ideogram AI",'כל ההוצאות'!$F:$F,"דצמבר 2025")</f>
        <v/>
      </c>
      <c r="M16" s="43">
        <f>SUMIFS('כל ההוצאות'!$E:$E,'כל ההוצאות'!$B:$B,"Ideogram AI",'כל ההוצאות'!$F:$F,"דצמבר 2025")</f>
        <v/>
      </c>
      <c r="N16" s="42">
        <f>SUMIFS('כל ההוצאות'!$D:$D,'כל ההוצאות'!$B:$B,"Ideogram AI",'כל ההוצאות'!$F:$F,"ינואר 2026")</f>
        <v/>
      </c>
      <c r="O16" s="43">
        <f>SUMIFS('כל ההוצאות'!$E:$E,'כל ההוצאות'!$B:$B,"Ideogram AI",'כל ההוצאות'!$F:$F,"ינואר 2026")</f>
        <v/>
      </c>
      <c r="P16" s="42">
        <f>SUMIFS('כל ההוצאות'!$D:$D,'כל ההוצאות'!$B:$B,"Ideogram AI",'כל ההוצאות'!$F:$F,"פברואר 2026")</f>
        <v/>
      </c>
      <c r="Q16" s="43">
        <f>SUMIFS('כל ההוצאות'!$E:$E,'כל ההוצאות'!$B:$B,"Ideogram AI",'כל ההוצאות'!$F:$F,"פברואר 2026")</f>
        <v/>
      </c>
      <c r="R16" s="42">
        <f>SUMIFS('כל ההוצאות'!$D:$D,'כל ההוצאות'!$B:$B,"Ideogram AI",'כל ההוצאות'!$F:$F,"מרץ 2026")</f>
        <v/>
      </c>
      <c r="S16" s="43">
        <f>SUMIFS('כל ההוצאות'!$E:$E,'כל ההוצאות'!$B:$B,"Ideogram AI",'כל ההוצאות'!$F:$F,"מרץ 2026")</f>
        <v/>
      </c>
      <c r="T16" s="42">
        <f>SUMIFS('כל ההוצאות'!$D:$D,'כל ההוצאות'!$B:$B,"Ideogram AI",'כל ההוצאות'!$F:$F,"אפריל 2026")</f>
        <v/>
      </c>
      <c r="U16" s="43">
        <f>SUMIFS('כל ההוצאות'!$E:$E,'כל ההוצאות'!$B:$B,"Ideogram AI",'כל ההוצאות'!$F:$F,"אפריל 2026")</f>
        <v/>
      </c>
      <c r="V16" s="42">
        <f>SUMIFS('כל ההוצאות'!$D:$D,'כל ההוצאות'!$B:$B,"Ideogram AI",'כל ההוצאות'!$F:$F,"מאי 2026")</f>
        <v/>
      </c>
      <c r="W16" s="43">
        <f>SUMIFS('כל ההוצאות'!$E:$E,'כל ההוצאות'!$B:$B,"Ideogram AI",'כל ההוצאות'!$F:$F,"מאי 2026")</f>
        <v/>
      </c>
      <c r="X16" s="42">
        <f>SUMIFS('כל ההוצאות'!$D:$D,'כל ההוצאות'!$B:$B,"Ideogram AI",'כל ההוצאות'!$F:$F,"יוני 2026")</f>
        <v/>
      </c>
      <c r="Y16" s="43">
        <f>SUMIFS('כל ההוצאות'!$E:$E,'כל ההוצאות'!$B:$B,"Ideogram AI",'כל ההוצאות'!$F:$F,"יוני 2026")</f>
        <v/>
      </c>
      <c r="Z16" s="42">
        <f>SUMIFS('כל ההוצאות'!$D:$D,'כל ההוצאות'!$B:$B,"Ideogram AI",'כל ההוצאות'!$F:$F,"יולי 2026")</f>
        <v/>
      </c>
      <c r="AA16" s="43">
        <f>SUMIFS('כל ההוצאות'!$E:$E,'כל ההוצאות'!$B:$B,"Ideogram AI",'כל ההוצאות'!$F:$F,"יולי 2026")</f>
        <v/>
      </c>
      <c r="AB16" s="42">
        <f>SUMIFS('כל ההוצאות'!$D:$D,'כל ההוצאות'!$B:$B,"Ideogram AI",'כל ההוצאות'!$F:$F,"אוגוסט 2026")</f>
        <v/>
      </c>
      <c r="AC16" s="43">
        <f>SUMIFS('כל ההוצאות'!$E:$E,'כל ההוצאות'!$B:$B,"Ideogram AI",'כל ההוצאות'!$F:$F,"אוגוסט 2026")</f>
        <v/>
      </c>
      <c r="AD16" s="42">
        <f>SUMIFS('כל ההוצאות'!$D:$D,'כל ההוצאות'!$B:$B,"Ideogram AI",'כל ההוצאות'!$F:$F,"ספטמבר 2026")</f>
        <v/>
      </c>
      <c r="AE16" s="43">
        <f>SUMIFS('כל ההוצאות'!$E:$E,'כל ההוצאות'!$B:$B,"Ideogram AI",'כל ההוצאות'!$F:$F,"ספטמבר 2026")</f>
        <v/>
      </c>
      <c r="AF16" s="42">
        <f>SUMIFS('כל ההוצאות'!$D:$D,'כל ההוצאות'!$B:$B,"Ideogram AI",'כל ההוצאות'!$F:$F,"אוקטובר 2026")</f>
        <v/>
      </c>
      <c r="AG16" s="43">
        <f>SUMIFS('כל ההוצאות'!$E:$E,'כל ההוצאות'!$B:$B,"Ideogram AI",'כל ההוצאות'!$F:$F,"אוקטובר 2026")</f>
        <v/>
      </c>
      <c r="AH16" s="42">
        <f>SUMIFS('כל ההוצאות'!$D:$D,'כל ההוצאות'!$B:$B,"Ideogram AI",'כל ההוצאות'!$F:$F,"נובמבר 2026")</f>
        <v/>
      </c>
      <c r="AI16" s="43">
        <f>SUMIFS('כל ההוצאות'!$E:$E,'כל ההוצאות'!$B:$B,"Ideogram AI",'כל ההוצאות'!$F:$F,"נובמבר 2026")</f>
        <v/>
      </c>
      <c r="AJ16" s="42">
        <f>SUMIFS('כל ההוצאות'!$D:$D,'כל ההוצאות'!$B:$B,"Ideogram AI",'כל ההוצאות'!$F:$F,"דצמבר 2026")</f>
        <v/>
      </c>
      <c r="AK16" s="43">
        <f>SUMIFS('כל ההוצאות'!$E:$E,'כל ההוצאות'!$B:$B,"Ideogram AI",'כל ההוצאות'!$F:$F,"דצמבר 2026")</f>
        <v/>
      </c>
      <c r="AL16" s="39">
        <f>SUM(B16,D16,F16,H16,J16,L16,N16,P16,R16,T16,V16,X16,Z16,AB16,AD16,AF16,AH16,AJ16)</f>
        <v/>
      </c>
      <c r="AM16" s="40">
        <f>SUM(C16,E16,G16,I16,K16,M16,O16,Q16,S16,U16,W16,Y16,AA16,AC16,AE16,AG16,AI16,AK16)</f>
        <v/>
      </c>
    </row>
    <row r="17">
      <c r="A17" s="36" t="inlineStr">
        <is>
          <t>Lovable</t>
        </is>
      </c>
      <c r="B17" s="37">
        <f>SUMIFS('כל ההוצאות'!$D:$D,'כל ההוצאות'!$B:$B,"Lovable",'כל ההוצאות'!$F:$F,"יולי 2025")</f>
        <v/>
      </c>
      <c r="C17" s="38">
        <f>SUMIFS('כל ההוצאות'!$E:$E,'כל ההוצאות'!$B:$B,"Lovable",'כל ההוצאות'!$F:$F,"יולי 2025")</f>
        <v/>
      </c>
      <c r="D17" s="37">
        <f>SUMIFS('כל ההוצאות'!$D:$D,'כל ההוצאות'!$B:$B,"Lovable",'כל ההוצאות'!$F:$F,"אוגוסט 2025")</f>
        <v/>
      </c>
      <c r="E17" s="38">
        <f>SUMIFS('כל ההוצאות'!$E:$E,'כל ההוצאות'!$B:$B,"Lovable",'כל ההוצאות'!$F:$F,"אוגוסט 2025")</f>
        <v/>
      </c>
      <c r="F17" s="37">
        <f>SUMIFS('כל ההוצאות'!$D:$D,'כל ההוצאות'!$B:$B,"Lovable",'כל ההוצאות'!$F:$F,"ספטמבר 2025")</f>
        <v/>
      </c>
      <c r="G17" s="38">
        <f>SUMIFS('כל ההוצאות'!$E:$E,'כל ההוצאות'!$B:$B,"Lovable",'כל ההוצאות'!$F:$F,"ספטמבר 2025")</f>
        <v/>
      </c>
      <c r="H17" s="37">
        <f>SUMIFS('כל ההוצאות'!$D:$D,'כל ההוצאות'!$B:$B,"Lovable",'כל ההוצאות'!$F:$F,"אוקטובר 2025")</f>
        <v/>
      </c>
      <c r="I17" s="38">
        <f>SUMIFS('כל ההוצאות'!$E:$E,'כל ההוצאות'!$B:$B,"Lovable",'כל ההוצאות'!$F:$F,"אוקטובר 2025")</f>
        <v/>
      </c>
      <c r="J17" s="37">
        <f>SUMIFS('כל ההוצאות'!$D:$D,'כל ההוצאות'!$B:$B,"Lovable",'כל ההוצאות'!$F:$F,"נובמבר 2025")</f>
        <v/>
      </c>
      <c r="K17" s="38">
        <f>SUMIFS('כל ההוצאות'!$E:$E,'כל ההוצאות'!$B:$B,"Lovable",'כל ההוצאות'!$F:$F,"נובמבר 2025")</f>
        <v/>
      </c>
      <c r="L17" s="37">
        <f>SUMIFS('כל ההוצאות'!$D:$D,'כל ההוצאות'!$B:$B,"Lovable",'כל ההוצאות'!$F:$F,"דצמבר 2025")</f>
        <v/>
      </c>
      <c r="M17" s="38">
        <f>SUMIFS('כל ההוצאות'!$E:$E,'כל ההוצאות'!$B:$B,"Lovable",'כל ההוצאות'!$F:$F,"דצמבר 2025")</f>
        <v/>
      </c>
      <c r="N17" s="37">
        <f>SUMIFS('כל ההוצאות'!$D:$D,'כל ההוצאות'!$B:$B,"Lovable",'כל ההוצאות'!$F:$F,"ינואר 2026")</f>
        <v/>
      </c>
      <c r="O17" s="38">
        <f>SUMIFS('כל ההוצאות'!$E:$E,'כל ההוצאות'!$B:$B,"Lovable",'כל ההוצאות'!$F:$F,"ינואר 2026")</f>
        <v/>
      </c>
      <c r="P17" s="37">
        <f>SUMIFS('כל ההוצאות'!$D:$D,'כל ההוצאות'!$B:$B,"Lovable",'כל ההוצאות'!$F:$F,"פברואר 2026")</f>
        <v/>
      </c>
      <c r="Q17" s="38">
        <f>SUMIFS('כל ההוצאות'!$E:$E,'כל ההוצאות'!$B:$B,"Lovable",'כל ההוצאות'!$F:$F,"פברואר 2026")</f>
        <v/>
      </c>
      <c r="R17" s="37">
        <f>SUMIFS('כל ההוצאות'!$D:$D,'כל ההוצאות'!$B:$B,"Lovable",'כל ההוצאות'!$F:$F,"מרץ 2026")</f>
        <v/>
      </c>
      <c r="S17" s="38">
        <f>SUMIFS('כל ההוצאות'!$E:$E,'כל ההוצאות'!$B:$B,"Lovable",'כל ההוצאות'!$F:$F,"מרץ 2026")</f>
        <v/>
      </c>
      <c r="T17" s="37">
        <f>SUMIFS('כל ההוצאות'!$D:$D,'כל ההוצאות'!$B:$B,"Lovable",'כל ההוצאות'!$F:$F,"אפריל 2026")</f>
        <v/>
      </c>
      <c r="U17" s="38">
        <f>SUMIFS('כל ההוצאות'!$E:$E,'כל ההוצאות'!$B:$B,"Lovable",'כל ההוצאות'!$F:$F,"אפריל 2026")</f>
        <v/>
      </c>
      <c r="V17" s="37">
        <f>SUMIFS('כל ההוצאות'!$D:$D,'כל ההוצאות'!$B:$B,"Lovable",'כל ההוצאות'!$F:$F,"מאי 2026")</f>
        <v/>
      </c>
      <c r="W17" s="38">
        <f>SUMIFS('כל ההוצאות'!$E:$E,'כל ההוצאות'!$B:$B,"Lovable",'כל ההוצאות'!$F:$F,"מאי 2026")</f>
        <v/>
      </c>
      <c r="X17" s="37">
        <f>SUMIFS('כל ההוצאות'!$D:$D,'כל ההוצאות'!$B:$B,"Lovable",'כל ההוצאות'!$F:$F,"יוני 2026")</f>
        <v/>
      </c>
      <c r="Y17" s="38">
        <f>SUMIFS('כל ההוצאות'!$E:$E,'כל ההוצאות'!$B:$B,"Lovable",'כל ההוצאות'!$F:$F,"יוני 2026")</f>
        <v/>
      </c>
      <c r="Z17" s="37">
        <f>SUMIFS('כל ההוצאות'!$D:$D,'כל ההוצאות'!$B:$B,"Lovable",'כל ההוצאות'!$F:$F,"יולי 2026")</f>
        <v/>
      </c>
      <c r="AA17" s="38">
        <f>SUMIFS('כל ההוצאות'!$E:$E,'כל ההוצאות'!$B:$B,"Lovable",'כל ההוצאות'!$F:$F,"יולי 2026")</f>
        <v/>
      </c>
      <c r="AB17" s="37">
        <f>SUMIFS('כל ההוצאות'!$D:$D,'כל ההוצאות'!$B:$B,"Lovable",'כל ההוצאות'!$F:$F,"אוגוסט 2026")</f>
        <v/>
      </c>
      <c r="AC17" s="38">
        <f>SUMIFS('כל ההוצאות'!$E:$E,'כל ההוצאות'!$B:$B,"Lovable",'כל ההוצאות'!$F:$F,"אוגוסט 2026")</f>
        <v/>
      </c>
      <c r="AD17" s="37">
        <f>SUMIFS('כל ההוצאות'!$D:$D,'כל ההוצאות'!$B:$B,"Lovable",'כל ההוצאות'!$F:$F,"ספטמבר 2026")</f>
        <v/>
      </c>
      <c r="AE17" s="38">
        <f>SUMIFS('כל ההוצאות'!$E:$E,'כל ההוצאות'!$B:$B,"Lovable",'כל ההוצאות'!$F:$F,"ספטמבר 2026")</f>
        <v/>
      </c>
      <c r="AF17" s="37">
        <f>SUMIFS('כל ההוצאות'!$D:$D,'כל ההוצאות'!$B:$B,"Lovable",'כל ההוצאות'!$F:$F,"אוקטובר 2026")</f>
        <v/>
      </c>
      <c r="AG17" s="38">
        <f>SUMIFS('כל ההוצאות'!$E:$E,'כל ההוצאות'!$B:$B,"Lovable",'כל ההוצאות'!$F:$F,"אוקטובר 2026")</f>
        <v/>
      </c>
      <c r="AH17" s="37">
        <f>SUMIFS('כל ההוצאות'!$D:$D,'כל ההוצאות'!$B:$B,"Lovable",'כל ההוצאות'!$F:$F,"נובמבר 2026")</f>
        <v/>
      </c>
      <c r="AI17" s="38">
        <f>SUMIFS('כל ההוצאות'!$E:$E,'כל ההוצאות'!$B:$B,"Lovable",'כל ההוצאות'!$F:$F,"נובמבר 2026")</f>
        <v/>
      </c>
      <c r="AJ17" s="37">
        <f>SUMIFS('כל ההוצאות'!$D:$D,'כל ההוצאות'!$B:$B,"Lovable",'כל ההוצאות'!$F:$F,"דצמבר 2026")</f>
        <v/>
      </c>
      <c r="AK17" s="38">
        <f>SUMIFS('כל ההוצאות'!$E:$E,'כל ההוצאות'!$B:$B,"Lovable",'כל ההוצאות'!$F:$F,"דצמבר 2026")</f>
        <v/>
      </c>
      <c r="AL17" s="39">
        <f>SUM(B17,D17,F17,H17,J17,L17,N17,P17,R17,T17,V17,X17,Z17,AB17,AD17,AF17,AH17,AJ17)</f>
        <v/>
      </c>
      <c r="AM17" s="40">
        <f>SUM(C17,E17,G17,I17,K17,M17,O17,Q17,S17,U17,W17,Y17,AA17,AC17,AE17,AG17,AI17,AK17)</f>
        <v/>
      </c>
    </row>
    <row r="18">
      <c r="A18" s="41" t="inlineStr">
        <is>
          <t>Make</t>
        </is>
      </c>
      <c r="B18" s="42">
        <f>SUMIFS('כל ההוצאות'!$D:$D,'כל ההוצאות'!$B:$B,"Make",'כל ההוצאות'!$F:$F,"יולי 2025")</f>
        <v/>
      </c>
      <c r="C18" s="43">
        <f>SUMIFS('כל ההוצאות'!$E:$E,'כל ההוצאות'!$B:$B,"Make",'כל ההוצאות'!$F:$F,"יולי 2025")</f>
        <v/>
      </c>
      <c r="D18" s="42">
        <f>SUMIFS('כל ההוצאות'!$D:$D,'כל ההוצאות'!$B:$B,"Make",'כל ההוצאות'!$F:$F,"אוגוסט 2025")</f>
        <v/>
      </c>
      <c r="E18" s="43">
        <f>SUMIFS('כל ההוצאות'!$E:$E,'כל ההוצאות'!$B:$B,"Make",'כל ההוצאות'!$F:$F,"אוגוסט 2025")</f>
        <v/>
      </c>
      <c r="F18" s="42">
        <f>SUMIFS('כל ההוצאות'!$D:$D,'כל ההוצאות'!$B:$B,"Make",'כל ההוצאות'!$F:$F,"ספטמבר 2025")</f>
        <v/>
      </c>
      <c r="G18" s="43">
        <f>SUMIFS('כל ההוצאות'!$E:$E,'כל ההוצאות'!$B:$B,"Make",'כל ההוצאות'!$F:$F,"ספטמבר 2025")</f>
        <v/>
      </c>
      <c r="H18" s="42">
        <f>SUMIFS('כל ההוצאות'!$D:$D,'כל ההוצאות'!$B:$B,"Make",'כל ההוצאות'!$F:$F,"אוקטובר 2025")</f>
        <v/>
      </c>
      <c r="I18" s="43">
        <f>SUMIFS('כל ההוצאות'!$E:$E,'כל ההוצאות'!$B:$B,"Make",'כל ההוצאות'!$F:$F,"אוקטובר 2025")</f>
        <v/>
      </c>
      <c r="J18" s="42">
        <f>SUMIFS('כל ההוצאות'!$D:$D,'כל ההוצאות'!$B:$B,"Make",'כל ההוצאות'!$F:$F,"נובמבר 2025")</f>
        <v/>
      </c>
      <c r="K18" s="43">
        <f>SUMIFS('כל ההוצאות'!$E:$E,'כל ההוצאות'!$B:$B,"Make",'כל ההוצאות'!$F:$F,"נובמבר 2025")</f>
        <v/>
      </c>
      <c r="L18" s="42">
        <f>SUMIFS('כל ההוצאות'!$D:$D,'כל ההוצאות'!$B:$B,"Make",'כל ההוצאות'!$F:$F,"דצמבר 2025")</f>
        <v/>
      </c>
      <c r="M18" s="43">
        <f>SUMIFS('כל ההוצאות'!$E:$E,'כל ההוצאות'!$B:$B,"Make",'כל ההוצאות'!$F:$F,"דצמבר 2025")</f>
        <v/>
      </c>
      <c r="N18" s="42">
        <f>SUMIFS('כל ההוצאות'!$D:$D,'כל ההוצאות'!$B:$B,"Make",'כל ההוצאות'!$F:$F,"ינואר 2026")</f>
        <v/>
      </c>
      <c r="O18" s="43">
        <f>SUMIFS('כל ההוצאות'!$E:$E,'כל ההוצאות'!$B:$B,"Make",'כל ההוצאות'!$F:$F,"ינואר 2026")</f>
        <v/>
      </c>
      <c r="P18" s="42">
        <f>SUMIFS('כל ההוצאות'!$D:$D,'כל ההוצאות'!$B:$B,"Make",'כל ההוצאות'!$F:$F,"פברואר 2026")</f>
        <v/>
      </c>
      <c r="Q18" s="43">
        <f>SUMIFS('כל ההוצאות'!$E:$E,'כל ההוצאות'!$B:$B,"Make",'כל ההוצאות'!$F:$F,"פברואר 2026")</f>
        <v/>
      </c>
      <c r="R18" s="42">
        <f>SUMIFS('כל ההוצאות'!$D:$D,'כל ההוצאות'!$B:$B,"Make",'כל ההוצאות'!$F:$F,"מרץ 2026")</f>
        <v/>
      </c>
      <c r="S18" s="43">
        <f>SUMIFS('כל ההוצאות'!$E:$E,'כל ההוצאות'!$B:$B,"Make",'כל ההוצאות'!$F:$F,"מרץ 2026")</f>
        <v/>
      </c>
      <c r="T18" s="42">
        <f>SUMIFS('כל ההוצאות'!$D:$D,'כל ההוצאות'!$B:$B,"Make",'כל ההוצאות'!$F:$F,"אפריל 2026")</f>
        <v/>
      </c>
      <c r="U18" s="43">
        <f>SUMIFS('כל ההוצאות'!$E:$E,'כל ההוצאות'!$B:$B,"Make",'כל ההוצאות'!$F:$F,"אפריל 2026")</f>
        <v/>
      </c>
      <c r="V18" s="42">
        <f>SUMIFS('כל ההוצאות'!$D:$D,'כל ההוצאות'!$B:$B,"Make",'כל ההוצאות'!$F:$F,"מאי 2026")</f>
        <v/>
      </c>
      <c r="W18" s="43">
        <f>SUMIFS('כל ההוצאות'!$E:$E,'כל ההוצאות'!$B:$B,"Make",'כל ההוצאות'!$F:$F,"מאי 2026")</f>
        <v/>
      </c>
      <c r="X18" s="42">
        <f>SUMIFS('כל ההוצאות'!$D:$D,'כל ההוצאות'!$B:$B,"Make",'כל ההוצאות'!$F:$F,"יוני 2026")</f>
        <v/>
      </c>
      <c r="Y18" s="43">
        <f>SUMIFS('כל ההוצאות'!$E:$E,'כל ההוצאות'!$B:$B,"Make",'כל ההוצאות'!$F:$F,"יוני 2026")</f>
        <v/>
      </c>
      <c r="Z18" s="42">
        <f>SUMIFS('כל ההוצאות'!$D:$D,'כל ההוצאות'!$B:$B,"Make",'כל ההוצאות'!$F:$F,"יולי 2026")</f>
        <v/>
      </c>
      <c r="AA18" s="43">
        <f>SUMIFS('כל ההוצאות'!$E:$E,'כל ההוצאות'!$B:$B,"Make",'כל ההוצאות'!$F:$F,"יולי 2026")</f>
        <v/>
      </c>
      <c r="AB18" s="42">
        <f>SUMIFS('כל ההוצאות'!$D:$D,'כל ההוצאות'!$B:$B,"Make",'כל ההוצאות'!$F:$F,"אוגוסט 2026")</f>
        <v/>
      </c>
      <c r="AC18" s="43">
        <f>SUMIFS('כל ההוצאות'!$E:$E,'כל ההוצאות'!$B:$B,"Make",'כל ההוצאות'!$F:$F,"אוגוסט 2026")</f>
        <v/>
      </c>
      <c r="AD18" s="42">
        <f>SUMIFS('כל ההוצאות'!$D:$D,'כל ההוצאות'!$B:$B,"Make",'כל ההוצאות'!$F:$F,"ספטמבר 2026")</f>
        <v/>
      </c>
      <c r="AE18" s="43">
        <f>SUMIFS('כל ההוצאות'!$E:$E,'כל ההוצאות'!$B:$B,"Make",'כל ההוצאות'!$F:$F,"ספטמבר 2026")</f>
        <v/>
      </c>
      <c r="AF18" s="42">
        <f>SUMIFS('כל ההוצאות'!$D:$D,'כל ההוצאות'!$B:$B,"Make",'כל ההוצאות'!$F:$F,"אוקטובר 2026")</f>
        <v/>
      </c>
      <c r="AG18" s="43">
        <f>SUMIFS('כל ההוצאות'!$E:$E,'כל ההוצאות'!$B:$B,"Make",'כל ההוצאות'!$F:$F,"אוקטובר 2026")</f>
        <v/>
      </c>
      <c r="AH18" s="42">
        <f>SUMIFS('כל ההוצאות'!$D:$D,'כל ההוצאות'!$B:$B,"Make",'כל ההוצאות'!$F:$F,"נובמבר 2026")</f>
        <v/>
      </c>
      <c r="AI18" s="43">
        <f>SUMIFS('כל ההוצאות'!$E:$E,'כל ההוצאות'!$B:$B,"Make",'כל ההוצאות'!$F:$F,"נובמבר 2026")</f>
        <v/>
      </c>
      <c r="AJ18" s="42">
        <f>SUMIFS('כל ההוצאות'!$D:$D,'כל ההוצאות'!$B:$B,"Make",'כל ההוצאות'!$F:$F,"דצמבר 2026")</f>
        <v/>
      </c>
      <c r="AK18" s="43">
        <f>SUMIFS('כל ההוצאות'!$E:$E,'כל ההוצאות'!$B:$B,"Make",'כל ההוצאות'!$F:$F,"דצמבר 2026")</f>
        <v/>
      </c>
      <c r="AL18" s="39">
        <f>SUM(B18,D18,F18,H18,J18,L18,N18,P18,R18,T18,V18,X18,Z18,AB18,AD18,AF18,AH18,AJ18)</f>
        <v/>
      </c>
      <c r="AM18" s="40">
        <f>SUM(C18,E18,G18,I18,K18,M18,O18,Q18,S18,U18,W18,Y18,AA18,AC18,AE18,AG18,AI18,AK18)</f>
        <v/>
      </c>
    </row>
    <row r="19">
      <c r="A19" s="36" t="inlineStr">
        <is>
          <t>Manus AI</t>
        </is>
      </c>
      <c r="B19" s="37">
        <f>SUMIFS('כל ההוצאות'!$D:$D,'כל ההוצאות'!$B:$B,"Manus AI",'כל ההוצאות'!$F:$F,"יולי 2025")</f>
        <v/>
      </c>
      <c r="C19" s="38">
        <f>SUMIFS('כל ההוצאות'!$E:$E,'כל ההוצאות'!$B:$B,"Manus AI",'כל ההוצאות'!$F:$F,"יולי 2025")</f>
        <v/>
      </c>
      <c r="D19" s="37">
        <f>SUMIFS('כל ההוצאות'!$D:$D,'כל ההוצאות'!$B:$B,"Manus AI",'כל ההוצאות'!$F:$F,"אוגוסט 2025")</f>
        <v/>
      </c>
      <c r="E19" s="38">
        <f>SUMIFS('כל ההוצאות'!$E:$E,'כל ההוצאות'!$B:$B,"Manus AI",'כל ההוצאות'!$F:$F,"אוגוסט 2025")</f>
        <v/>
      </c>
      <c r="F19" s="37">
        <f>SUMIFS('כל ההוצאות'!$D:$D,'כל ההוצאות'!$B:$B,"Manus AI",'כל ההוצאות'!$F:$F,"ספטמבר 2025")</f>
        <v/>
      </c>
      <c r="G19" s="38">
        <f>SUMIFS('כל ההוצאות'!$E:$E,'כל ההוצאות'!$B:$B,"Manus AI",'כל ההוצאות'!$F:$F,"ספטמבר 2025")</f>
        <v/>
      </c>
      <c r="H19" s="37">
        <f>SUMIFS('כל ההוצאות'!$D:$D,'כל ההוצאות'!$B:$B,"Manus AI",'כל ההוצאות'!$F:$F,"אוקטובר 2025")</f>
        <v/>
      </c>
      <c r="I19" s="38">
        <f>SUMIFS('כל ההוצאות'!$E:$E,'כל ההוצאות'!$B:$B,"Manus AI",'כל ההוצאות'!$F:$F,"אוקטובר 2025")</f>
        <v/>
      </c>
      <c r="J19" s="37">
        <f>SUMIFS('כל ההוצאות'!$D:$D,'כל ההוצאות'!$B:$B,"Manus AI",'כל ההוצאות'!$F:$F,"נובמבר 2025")</f>
        <v/>
      </c>
      <c r="K19" s="38">
        <f>SUMIFS('כל ההוצאות'!$E:$E,'כל ההוצאות'!$B:$B,"Manus AI",'כל ההוצאות'!$F:$F,"נובמבר 2025")</f>
        <v/>
      </c>
      <c r="L19" s="37">
        <f>SUMIFS('כל ההוצאות'!$D:$D,'כל ההוצאות'!$B:$B,"Manus AI",'כל ההוצאות'!$F:$F,"דצמבר 2025")</f>
        <v/>
      </c>
      <c r="M19" s="38">
        <f>SUMIFS('כל ההוצאות'!$E:$E,'כל ההוצאות'!$B:$B,"Manus AI",'כל ההוצאות'!$F:$F,"דצמבר 2025")</f>
        <v/>
      </c>
      <c r="N19" s="37">
        <f>SUMIFS('כל ההוצאות'!$D:$D,'כל ההוצאות'!$B:$B,"Manus AI",'כל ההוצאות'!$F:$F,"ינואר 2026")</f>
        <v/>
      </c>
      <c r="O19" s="38">
        <f>SUMIFS('כל ההוצאות'!$E:$E,'כל ההוצאות'!$B:$B,"Manus AI",'כל ההוצאות'!$F:$F,"ינואר 2026")</f>
        <v/>
      </c>
      <c r="P19" s="37">
        <f>SUMIFS('כל ההוצאות'!$D:$D,'כל ההוצאות'!$B:$B,"Manus AI",'כל ההוצאות'!$F:$F,"פברואר 2026")</f>
        <v/>
      </c>
      <c r="Q19" s="38">
        <f>SUMIFS('כל ההוצאות'!$E:$E,'כל ההוצאות'!$B:$B,"Manus AI",'כל ההוצאות'!$F:$F,"פברואר 2026")</f>
        <v/>
      </c>
      <c r="R19" s="37">
        <f>SUMIFS('כל ההוצאות'!$D:$D,'כל ההוצאות'!$B:$B,"Manus AI",'כל ההוצאות'!$F:$F,"מרץ 2026")</f>
        <v/>
      </c>
      <c r="S19" s="38">
        <f>SUMIFS('כל ההוצאות'!$E:$E,'כל ההוצאות'!$B:$B,"Manus AI",'כל ההוצאות'!$F:$F,"מרץ 2026")</f>
        <v/>
      </c>
      <c r="T19" s="37">
        <f>SUMIFS('כל ההוצאות'!$D:$D,'כל ההוצאות'!$B:$B,"Manus AI",'כל ההוצאות'!$F:$F,"אפריל 2026")</f>
        <v/>
      </c>
      <c r="U19" s="38">
        <f>SUMIFS('כל ההוצאות'!$E:$E,'כל ההוצאות'!$B:$B,"Manus AI",'כל ההוצאות'!$F:$F,"אפריל 2026")</f>
        <v/>
      </c>
      <c r="V19" s="37">
        <f>SUMIFS('כל ההוצאות'!$D:$D,'כל ההוצאות'!$B:$B,"Manus AI",'כל ההוצאות'!$F:$F,"מאי 2026")</f>
        <v/>
      </c>
      <c r="W19" s="38">
        <f>SUMIFS('כל ההוצאות'!$E:$E,'כל ההוצאות'!$B:$B,"Manus AI",'כל ההוצאות'!$F:$F,"מאי 2026")</f>
        <v/>
      </c>
      <c r="X19" s="37">
        <f>SUMIFS('כל ההוצאות'!$D:$D,'כל ההוצאות'!$B:$B,"Manus AI",'כל ההוצאות'!$F:$F,"יוני 2026")</f>
        <v/>
      </c>
      <c r="Y19" s="38">
        <f>SUMIFS('כל ההוצאות'!$E:$E,'כל ההוצאות'!$B:$B,"Manus AI",'כל ההוצאות'!$F:$F,"יוני 2026")</f>
        <v/>
      </c>
      <c r="Z19" s="37">
        <f>SUMIFS('כל ההוצאות'!$D:$D,'כל ההוצאות'!$B:$B,"Manus AI",'כל ההוצאות'!$F:$F,"יולי 2026")</f>
        <v/>
      </c>
      <c r="AA19" s="38">
        <f>SUMIFS('כל ההוצאות'!$E:$E,'כל ההוצאות'!$B:$B,"Manus AI",'כל ההוצאות'!$F:$F,"יולי 2026")</f>
        <v/>
      </c>
      <c r="AB19" s="37">
        <f>SUMIFS('כל ההוצאות'!$D:$D,'כל ההוצאות'!$B:$B,"Manus AI",'כל ההוצאות'!$F:$F,"אוגוסט 2026")</f>
        <v/>
      </c>
      <c r="AC19" s="38">
        <f>SUMIFS('כל ההוצאות'!$E:$E,'כל ההוצאות'!$B:$B,"Manus AI",'כל ההוצאות'!$F:$F,"אוגוסט 2026")</f>
        <v/>
      </c>
      <c r="AD19" s="37">
        <f>SUMIFS('כל ההוצאות'!$D:$D,'כל ההוצאות'!$B:$B,"Manus AI",'כל ההוצאות'!$F:$F,"ספטמבר 2026")</f>
        <v/>
      </c>
      <c r="AE19" s="38">
        <f>SUMIFS('כל ההוצאות'!$E:$E,'כל ההוצאות'!$B:$B,"Manus AI",'כל ההוצאות'!$F:$F,"ספטמבר 2026")</f>
        <v/>
      </c>
      <c r="AF19" s="37">
        <f>SUMIFS('כל ההוצאות'!$D:$D,'כל ההוצאות'!$B:$B,"Manus AI",'כל ההוצאות'!$F:$F,"אוקטובר 2026")</f>
        <v/>
      </c>
      <c r="AG19" s="38">
        <f>SUMIFS('כל ההוצאות'!$E:$E,'כל ההוצאות'!$B:$B,"Manus AI",'כל ההוצאות'!$F:$F,"אוקטובר 2026")</f>
        <v/>
      </c>
      <c r="AH19" s="37">
        <f>SUMIFS('כל ההוצאות'!$D:$D,'כל ההוצאות'!$B:$B,"Manus AI",'כל ההוצאות'!$F:$F,"נובמבר 2026")</f>
        <v/>
      </c>
      <c r="AI19" s="38">
        <f>SUMIFS('כל ההוצאות'!$E:$E,'כל ההוצאות'!$B:$B,"Manus AI",'כל ההוצאות'!$F:$F,"נובמבר 2026")</f>
        <v/>
      </c>
      <c r="AJ19" s="37">
        <f>SUMIFS('כל ההוצאות'!$D:$D,'כל ההוצאות'!$B:$B,"Manus AI",'כל ההוצאות'!$F:$F,"דצמבר 2026")</f>
        <v/>
      </c>
      <c r="AK19" s="38">
        <f>SUMIFS('כל ההוצאות'!$E:$E,'כל ההוצאות'!$B:$B,"Manus AI",'כל ההוצאות'!$F:$F,"דצמבר 2026")</f>
        <v/>
      </c>
      <c r="AL19" s="39">
        <f>SUM(B19,D19,F19,H19,J19,L19,N19,P19,R19,T19,V19,X19,Z19,AB19,AD19,AF19,AH19,AJ19)</f>
        <v/>
      </c>
      <c r="AM19" s="40">
        <f>SUM(C19,E19,G19,I19,K19,M19,O19,Q19,S19,U19,W19,Y19,AA19,AC19,AE19,AG19,AI19,AK19)</f>
        <v/>
      </c>
    </row>
    <row r="20">
      <c r="A20" s="41" t="inlineStr">
        <is>
          <t>Manychat</t>
        </is>
      </c>
      <c r="B20" s="42">
        <f>SUMIFS('כל ההוצאות'!$D:$D,'כל ההוצאות'!$B:$B,"Manychat",'כל ההוצאות'!$F:$F,"יולי 2025")</f>
        <v/>
      </c>
      <c r="C20" s="43">
        <f>SUMIFS('כל ההוצאות'!$E:$E,'כל ההוצאות'!$B:$B,"Manychat",'כל ההוצאות'!$F:$F,"יולי 2025")</f>
        <v/>
      </c>
      <c r="D20" s="42">
        <f>SUMIFS('כל ההוצאות'!$D:$D,'כל ההוצאות'!$B:$B,"Manychat",'כל ההוצאות'!$F:$F,"אוגוסט 2025")</f>
        <v/>
      </c>
      <c r="E20" s="43">
        <f>SUMIFS('כל ההוצאות'!$E:$E,'כל ההוצאות'!$B:$B,"Manychat",'כל ההוצאות'!$F:$F,"אוגוסט 2025")</f>
        <v/>
      </c>
      <c r="F20" s="42">
        <f>SUMIFS('כל ההוצאות'!$D:$D,'כל ההוצאות'!$B:$B,"Manychat",'כל ההוצאות'!$F:$F,"ספטמבר 2025")</f>
        <v/>
      </c>
      <c r="G20" s="43">
        <f>SUMIFS('כל ההוצאות'!$E:$E,'כל ההוצאות'!$B:$B,"Manychat",'כל ההוצאות'!$F:$F,"ספטמבר 2025")</f>
        <v/>
      </c>
      <c r="H20" s="42">
        <f>SUMIFS('כל ההוצאות'!$D:$D,'כל ההוצאות'!$B:$B,"Manychat",'כל ההוצאות'!$F:$F,"אוקטובר 2025")</f>
        <v/>
      </c>
      <c r="I20" s="43">
        <f>SUMIFS('כל ההוצאות'!$E:$E,'כל ההוצאות'!$B:$B,"Manychat",'כל ההוצאות'!$F:$F,"אוקטובר 2025")</f>
        <v/>
      </c>
      <c r="J20" s="42">
        <f>SUMIFS('כל ההוצאות'!$D:$D,'כל ההוצאות'!$B:$B,"Manychat",'כל ההוצאות'!$F:$F,"נובמבר 2025")</f>
        <v/>
      </c>
      <c r="K20" s="43">
        <f>SUMIFS('כל ההוצאות'!$E:$E,'כל ההוצאות'!$B:$B,"Manychat",'כל ההוצאות'!$F:$F,"נובמבר 2025")</f>
        <v/>
      </c>
      <c r="L20" s="42">
        <f>SUMIFS('כל ההוצאות'!$D:$D,'כל ההוצאות'!$B:$B,"Manychat",'כל ההוצאות'!$F:$F,"דצמבר 2025")</f>
        <v/>
      </c>
      <c r="M20" s="43">
        <f>SUMIFS('כל ההוצאות'!$E:$E,'כל ההוצאות'!$B:$B,"Manychat",'כל ההוצאות'!$F:$F,"דצמבר 2025")</f>
        <v/>
      </c>
      <c r="N20" s="42">
        <f>SUMIFS('כל ההוצאות'!$D:$D,'כל ההוצאות'!$B:$B,"Manychat",'כל ההוצאות'!$F:$F,"ינואר 2026")</f>
        <v/>
      </c>
      <c r="O20" s="43">
        <f>SUMIFS('כל ההוצאות'!$E:$E,'כל ההוצאות'!$B:$B,"Manychat",'כל ההוצאות'!$F:$F,"ינואר 2026")</f>
        <v/>
      </c>
      <c r="P20" s="42">
        <f>SUMIFS('כל ההוצאות'!$D:$D,'כל ההוצאות'!$B:$B,"Manychat",'כל ההוצאות'!$F:$F,"פברואר 2026")</f>
        <v/>
      </c>
      <c r="Q20" s="43">
        <f>SUMIFS('כל ההוצאות'!$E:$E,'כל ההוצאות'!$B:$B,"Manychat",'כל ההוצאות'!$F:$F,"פברואר 2026")</f>
        <v/>
      </c>
      <c r="R20" s="42">
        <f>SUMIFS('כל ההוצאות'!$D:$D,'כל ההוצאות'!$B:$B,"Manychat",'כל ההוצאות'!$F:$F,"מרץ 2026")</f>
        <v/>
      </c>
      <c r="S20" s="43">
        <f>SUMIFS('כל ההוצאות'!$E:$E,'כל ההוצאות'!$B:$B,"Manychat",'כל ההוצאות'!$F:$F,"מרץ 2026")</f>
        <v/>
      </c>
      <c r="T20" s="42">
        <f>SUMIFS('כל ההוצאות'!$D:$D,'כל ההוצאות'!$B:$B,"Manychat",'כל ההוצאות'!$F:$F,"אפריל 2026")</f>
        <v/>
      </c>
      <c r="U20" s="43">
        <f>SUMIFS('כל ההוצאות'!$E:$E,'כל ההוצאות'!$B:$B,"Manychat",'כל ההוצאות'!$F:$F,"אפריל 2026")</f>
        <v/>
      </c>
      <c r="V20" s="42">
        <f>SUMIFS('כל ההוצאות'!$D:$D,'כל ההוצאות'!$B:$B,"Manychat",'כל ההוצאות'!$F:$F,"מאי 2026")</f>
        <v/>
      </c>
      <c r="W20" s="43">
        <f>SUMIFS('כל ההוצאות'!$E:$E,'כל ההוצאות'!$B:$B,"Manychat",'כל ההוצאות'!$F:$F,"מאי 2026")</f>
        <v/>
      </c>
      <c r="X20" s="42">
        <f>SUMIFS('כל ההוצאות'!$D:$D,'כל ההוצאות'!$B:$B,"Manychat",'כל ההוצאות'!$F:$F,"יוני 2026")</f>
        <v/>
      </c>
      <c r="Y20" s="43">
        <f>SUMIFS('כל ההוצאות'!$E:$E,'כל ההוצאות'!$B:$B,"Manychat",'כל ההוצאות'!$F:$F,"יוני 2026")</f>
        <v/>
      </c>
      <c r="Z20" s="42">
        <f>SUMIFS('כל ההוצאות'!$D:$D,'כל ההוצאות'!$B:$B,"Manychat",'כל ההוצאות'!$F:$F,"יולי 2026")</f>
        <v/>
      </c>
      <c r="AA20" s="43">
        <f>SUMIFS('כל ההוצאות'!$E:$E,'כל ההוצאות'!$B:$B,"Manychat",'כל ההוצאות'!$F:$F,"יולי 2026")</f>
        <v/>
      </c>
      <c r="AB20" s="42">
        <f>SUMIFS('כל ההוצאות'!$D:$D,'כל ההוצאות'!$B:$B,"Manychat",'כל ההוצאות'!$F:$F,"אוגוסט 2026")</f>
        <v/>
      </c>
      <c r="AC20" s="43">
        <f>SUMIFS('כל ההוצאות'!$E:$E,'כל ההוצאות'!$B:$B,"Manychat",'כל ההוצאות'!$F:$F,"אוגוסט 2026")</f>
        <v/>
      </c>
      <c r="AD20" s="42">
        <f>SUMIFS('כל ההוצאות'!$D:$D,'כל ההוצאות'!$B:$B,"Manychat",'כל ההוצאות'!$F:$F,"ספטמבר 2026")</f>
        <v/>
      </c>
      <c r="AE20" s="43">
        <f>SUMIFS('כל ההוצאות'!$E:$E,'כל ההוצאות'!$B:$B,"Manychat",'כל ההוצאות'!$F:$F,"ספטמבר 2026")</f>
        <v/>
      </c>
      <c r="AF20" s="42">
        <f>SUMIFS('כל ההוצאות'!$D:$D,'כל ההוצאות'!$B:$B,"Manychat",'כל ההוצאות'!$F:$F,"אוקטובר 2026")</f>
        <v/>
      </c>
      <c r="AG20" s="43">
        <f>SUMIFS('כל ההוצאות'!$E:$E,'כל ההוצאות'!$B:$B,"Manychat",'כל ההוצאות'!$F:$F,"אוקטובר 2026")</f>
        <v/>
      </c>
      <c r="AH20" s="42">
        <f>SUMIFS('כל ההוצאות'!$D:$D,'כל ההוצאות'!$B:$B,"Manychat",'כל ההוצאות'!$F:$F,"נובמבר 2026")</f>
        <v/>
      </c>
      <c r="AI20" s="43">
        <f>SUMIFS('כל ההוצאות'!$E:$E,'כל ההוצאות'!$B:$B,"Manychat",'כל ההוצאות'!$F:$F,"נובמבר 2026")</f>
        <v/>
      </c>
      <c r="AJ20" s="42">
        <f>SUMIFS('כל ההוצאות'!$D:$D,'כל ההוצאות'!$B:$B,"Manychat",'כל ההוצאות'!$F:$F,"דצמבר 2026")</f>
        <v/>
      </c>
      <c r="AK20" s="43">
        <f>SUMIFS('כל ההוצאות'!$E:$E,'כל ההוצאות'!$B:$B,"Manychat",'כל ההוצאות'!$F:$F,"דצמבר 2026")</f>
        <v/>
      </c>
      <c r="AL20" s="39">
        <f>SUM(B20,D20,F20,H20,J20,L20,N20,P20,R20,T20,V20,X20,Z20,AB20,AD20,AF20,AH20,AJ20)</f>
        <v/>
      </c>
      <c r="AM20" s="40">
        <f>SUM(C20,E20,G20,I20,K20,M20,O20,Q20,S20,U20,W20,Y20,AA20,AC20,AE20,AG20,AI20,AK20)</f>
        <v/>
      </c>
    </row>
    <row r="21">
      <c r="A21" s="36" t="inlineStr">
        <is>
          <t>Meta (Ads)</t>
        </is>
      </c>
      <c r="B21" s="37">
        <f>SUMIFS('כל ההוצאות'!$D:$D,'כל ההוצאות'!$B:$B,"Meta (Ads)",'כל ההוצאות'!$F:$F,"יולי 2025")</f>
        <v/>
      </c>
      <c r="C21" s="38">
        <f>SUMIFS('כל ההוצאות'!$E:$E,'כל ההוצאות'!$B:$B,"Meta (Ads)",'כל ההוצאות'!$F:$F,"יולי 2025")</f>
        <v/>
      </c>
      <c r="D21" s="37">
        <f>SUMIFS('כל ההוצאות'!$D:$D,'כל ההוצאות'!$B:$B,"Meta (Ads)",'כל ההוצאות'!$F:$F,"אוגוסט 2025")</f>
        <v/>
      </c>
      <c r="E21" s="38">
        <f>SUMIFS('כל ההוצאות'!$E:$E,'כל ההוצאות'!$B:$B,"Meta (Ads)",'כל ההוצאות'!$F:$F,"אוגוסט 2025")</f>
        <v/>
      </c>
      <c r="F21" s="37">
        <f>SUMIFS('כל ההוצאות'!$D:$D,'כל ההוצאות'!$B:$B,"Meta (Ads)",'כל ההוצאות'!$F:$F,"ספטמבר 2025")</f>
        <v/>
      </c>
      <c r="G21" s="38">
        <f>SUMIFS('כל ההוצאות'!$E:$E,'כל ההוצאות'!$B:$B,"Meta (Ads)",'כל ההוצאות'!$F:$F,"ספטמבר 2025")</f>
        <v/>
      </c>
      <c r="H21" s="37">
        <f>SUMIFS('כל ההוצאות'!$D:$D,'כל ההוצאות'!$B:$B,"Meta (Ads)",'כל ההוצאות'!$F:$F,"אוקטובר 2025")</f>
        <v/>
      </c>
      <c r="I21" s="38">
        <f>SUMIFS('כל ההוצאות'!$E:$E,'כל ההוצאות'!$B:$B,"Meta (Ads)",'כל ההוצאות'!$F:$F,"אוקטובר 2025")</f>
        <v/>
      </c>
      <c r="J21" s="37">
        <f>SUMIFS('כל ההוצאות'!$D:$D,'כל ההוצאות'!$B:$B,"Meta (Ads)",'כל ההוצאות'!$F:$F,"נובמבר 2025")</f>
        <v/>
      </c>
      <c r="K21" s="38">
        <f>SUMIFS('כל ההוצאות'!$E:$E,'כל ההוצאות'!$B:$B,"Meta (Ads)",'כל ההוצאות'!$F:$F,"נובמבר 2025")</f>
        <v/>
      </c>
      <c r="L21" s="37">
        <f>SUMIFS('כל ההוצאות'!$D:$D,'כל ההוצאות'!$B:$B,"Meta (Ads)",'כל ההוצאות'!$F:$F,"דצמבר 2025")</f>
        <v/>
      </c>
      <c r="M21" s="38">
        <f>SUMIFS('כל ההוצאות'!$E:$E,'כל ההוצאות'!$B:$B,"Meta (Ads)",'כל ההוצאות'!$F:$F,"דצמבר 2025")</f>
        <v/>
      </c>
      <c r="N21" s="37">
        <f>SUMIFS('כל ההוצאות'!$D:$D,'כל ההוצאות'!$B:$B,"Meta (Ads)",'כל ההוצאות'!$F:$F,"ינואר 2026")</f>
        <v/>
      </c>
      <c r="O21" s="38">
        <f>SUMIFS('כל ההוצאות'!$E:$E,'כל ההוצאות'!$B:$B,"Meta (Ads)",'כל ההוצאות'!$F:$F,"ינואר 2026")</f>
        <v/>
      </c>
      <c r="P21" s="37">
        <f>SUMIFS('כל ההוצאות'!$D:$D,'כל ההוצאות'!$B:$B,"Meta (Ads)",'כל ההוצאות'!$F:$F,"פברואר 2026")</f>
        <v/>
      </c>
      <c r="Q21" s="38">
        <f>SUMIFS('כל ההוצאות'!$E:$E,'כל ההוצאות'!$B:$B,"Meta (Ads)",'כל ההוצאות'!$F:$F,"פברואר 2026")</f>
        <v/>
      </c>
      <c r="R21" s="37">
        <f>SUMIFS('כל ההוצאות'!$D:$D,'כל ההוצאות'!$B:$B,"Meta (Ads)",'כל ההוצאות'!$F:$F,"מרץ 2026")</f>
        <v/>
      </c>
      <c r="S21" s="38">
        <f>SUMIFS('כל ההוצאות'!$E:$E,'כל ההוצאות'!$B:$B,"Meta (Ads)",'כל ההוצאות'!$F:$F,"מרץ 2026")</f>
        <v/>
      </c>
      <c r="T21" s="37">
        <f>SUMIFS('כל ההוצאות'!$D:$D,'כל ההוצאות'!$B:$B,"Meta (Ads)",'כל ההוצאות'!$F:$F,"אפריל 2026")</f>
        <v/>
      </c>
      <c r="U21" s="38">
        <f>SUMIFS('כל ההוצאות'!$E:$E,'כל ההוצאות'!$B:$B,"Meta (Ads)",'כל ההוצאות'!$F:$F,"אפריל 2026")</f>
        <v/>
      </c>
      <c r="V21" s="37">
        <f>SUMIFS('כל ההוצאות'!$D:$D,'כל ההוצאות'!$B:$B,"Meta (Ads)",'כל ההוצאות'!$F:$F,"מאי 2026")</f>
        <v/>
      </c>
      <c r="W21" s="38">
        <f>SUMIFS('כל ההוצאות'!$E:$E,'כל ההוצאות'!$B:$B,"Meta (Ads)",'כל ההוצאות'!$F:$F,"מאי 2026")</f>
        <v/>
      </c>
      <c r="X21" s="37">
        <f>SUMIFS('כל ההוצאות'!$D:$D,'כל ההוצאות'!$B:$B,"Meta (Ads)",'כל ההוצאות'!$F:$F,"יוני 2026")</f>
        <v/>
      </c>
      <c r="Y21" s="38">
        <f>SUMIFS('כל ההוצאות'!$E:$E,'כל ההוצאות'!$B:$B,"Meta (Ads)",'כל ההוצאות'!$F:$F,"יוני 2026")</f>
        <v/>
      </c>
      <c r="Z21" s="37">
        <f>SUMIFS('כל ההוצאות'!$D:$D,'כל ההוצאות'!$B:$B,"Meta (Ads)",'כל ההוצאות'!$F:$F,"יולי 2026")</f>
        <v/>
      </c>
      <c r="AA21" s="38">
        <f>SUMIFS('כל ההוצאות'!$E:$E,'כל ההוצאות'!$B:$B,"Meta (Ads)",'כל ההוצאות'!$F:$F,"יולי 2026")</f>
        <v/>
      </c>
      <c r="AB21" s="37">
        <f>SUMIFS('כל ההוצאות'!$D:$D,'כל ההוצאות'!$B:$B,"Meta (Ads)",'כל ההוצאות'!$F:$F,"אוגוסט 2026")</f>
        <v/>
      </c>
      <c r="AC21" s="38">
        <f>SUMIFS('כל ההוצאות'!$E:$E,'כל ההוצאות'!$B:$B,"Meta (Ads)",'כל ההוצאות'!$F:$F,"אוגוסט 2026")</f>
        <v/>
      </c>
      <c r="AD21" s="37">
        <f>SUMIFS('כל ההוצאות'!$D:$D,'כל ההוצאות'!$B:$B,"Meta (Ads)",'כל ההוצאות'!$F:$F,"ספטמבר 2026")</f>
        <v/>
      </c>
      <c r="AE21" s="38">
        <f>SUMIFS('כל ההוצאות'!$E:$E,'כל ההוצאות'!$B:$B,"Meta (Ads)",'כל ההוצאות'!$F:$F,"ספטמבר 2026")</f>
        <v/>
      </c>
      <c r="AF21" s="37">
        <f>SUMIFS('כל ההוצאות'!$D:$D,'כל ההוצאות'!$B:$B,"Meta (Ads)",'כל ההוצאות'!$F:$F,"אוקטובר 2026")</f>
        <v/>
      </c>
      <c r="AG21" s="38">
        <f>SUMIFS('כל ההוצאות'!$E:$E,'כל ההוצאות'!$B:$B,"Meta (Ads)",'כל ההוצאות'!$F:$F,"אוקטובר 2026")</f>
        <v/>
      </c>
      <c r="AH21" s="37">
        <f>SUMIFS('כל ההוצאות'!$D:$D,'כל ההוצאות'!$B:$B,"Meta (Ads)",'כל ההוצאות'!$F:$F,"נובמבר 2026")</f>
        <v/>
      </c>
      <c r="AI21" s="38">
        <f>SUMIFS('כל ההוצאות'!$E:$E,'כל ההוצאות'!$B:$B,"Meta (Ads)",'כל ההוצאות'!$F:$F,"נובמבר 2026")</f>
        <v/>
      </c>
      <c r="AJ21" s="37">
        <f>SUMIFS('כל ההוצאות'!$D:$D,'כל ההוצאות'!$B:$B,"Meta (Ads)",'כל ההוצאות'!$F:$F,"דצמבר 2026")</f>
        <v/>
      </c>
      <c r="AK21" s="38">
        <f>SUMIFS('כל ההוצאות'!$E:$E,'כל ההוצאות'!$B:$B,"Meta (Ads)",'כל ההוצאות'!$F:$F,"דצמבר 2026")</f>
        <v/>
      </c>
      <c r="AL21" s="39">
        <f>SUM(B21,D21,F21,H21,J21,L21,N21,P21,R21,T21,V21,X21,Z21,AB21,AD21,AF21,AH21,AJ21)</f>
        <v/>
      </c>
      <c r="AM21" s="40">
        <f>SUM(C21,E21,G21,I21,K21,M21,O21,Q21,S21,U21,W21,Y21,AA21,AC21,AE21,AG21,AI21,AK21)</f>
        <v/>
      </c>
    </row>
    <row r="22">
      <c r="A22" s="41" t="inlineStr">
        <is>
          <t>OpenAI</t>
        </is>
      </c>
      <c r="B22" s="42">
        <f>SUMIFS('כל ההוצאות'!$D:$D,'כל ההוצאות'!$B:$B,"OpenAI",'כל ההוצאות'!$F:$F,"יולי 2025")</f>
        <v/>
      </c>
      <c r="C22" s="43">
        <f>SUMIFS('כל ההוצאות'!$E:$E,'כל ההוצאות'!$B:$B,"OpenAI",'כל ההוצאות'!$F:$F,"יולי 2025")</f>
        <v/>
      </c>
      <c r="D22" s="42">
        <f>SUMIFS('כל ההוצאות'!$D:$D,'כל ההוצאות'!$B:$B,"OpenAI",'כל ההוצאות'!$F:$F,"אוגוסט 2025")</f>
        <v/>
      </c>
      <c r="E22" s="43">
        <f>SUMIFS('כל ההוצאות'!$E:$E,'כל ההוצאות'!$B:$B,"OpenAI",'כל ההוצאות'!$F:$F,"אוגוסט 2025")</f>
        <v/>
      </c>
      <c r="F22" s="42">
        <f>SUMIFS('כל ההוצאות'!$D:$D,'כל ההוצאות'!$B:$B,"OpenAI",'כל ההוצאות'!$F:$F,"ספטמבר 2025")</f>
        <v/>
      </c>
      <c r="G22" s="43">
        <f>SUMIFS('כל ההוצאות'!$E:$E,'כל ההוצאות'!$B:$B,"OpenAI",'כל ההוצאות'!$F:$F,"ספטמבר 2025")</f>
        <v/>
      </c>
      <c r="H22" s="42">
        <f>SUMIFS('כל ההוצאות'!$D:$D,'כל ההוצאות'!$B:$B,"OpenAI",'כל ההוצאות'!$F:$F,"אוקטובר 2025")</f>
        <v/>
      </c>
      <c r="I22" s="43">
        <f>SUMIFS('כל ההוצאות'!$E:$E,'כל ההוצאות'!$B:$B,"OpenAI",'כל ההוצאות'!$F:$F,"אוקטובר 2025")</f>
        <v/>
      </c>
      <c r="J22" s="42">
        <f>SUMIFS('כל ההוצאות'!$D:$D,'כל ההוצאות'!$B:$B,"OpenAI",'כל ההוצאות'!$F:$F,"נובמבר 2025")</f>
        <v/>
      </c>
      <c r="K22" s="43">
        <f>SUMIFS('כל ההוצאות'!$E:$E,'כל ההוצאות'!$B:$B,"OpenAI",'כל ההוצאות'!$F:$F,"נובמבר 2025")</f>
        <v/>
      </c>
      <c r="L22" s="42">
        <f>SUMIFS('כל ההוצאות'!$D:$D,'כל ההוצאות'!$B:$B,"OpenAI",'כל ההוצאות'!$F:$F,"דצמבר 2025")</f>
        <v/>
      </c>
      <c r="M22" s="43">
        <f>SUMIFS('כל ההוצאות'!$E:$E,'כל ההוצאות'!$B:$B,"OpenAI",'כל ההוצאות'!$F:$F,"דצמבר 2025")</f>
        <v/>
      </c>
      <c r="N22" s="42">
        <f>SUMIFS('כל ההוצאות'!$D:$D,'כל ההוצאות'!$B:$B,"OpenAI",'כל ההוצאות'!$F:$F,"ינואר 2026")</f>
        <v/>
      </c>
      <c r="O22" s="43">
        <f>SUMIFS('כל ההוצאות'!$E:$E,'כל ההוצאות'!$B:$B,"OpenAI",'כל ההוצאות'!$F:$F,"ינואר 2026")</f>
        <v/>
      </c>
      <c r="P22" s="42">
        <f>SUMIFS('כל ההוצאות'!$D:$D,'כל ההוצאות'!$B:$B,"OpenAI",'כל ההוצאות'!$F:$F,"פברואר 2026")</f>
        <v/>
      </c>
      <c r="Q22" s="43">
        <f>SUMIFS('כל ההוצאות'!$E:$E,'כל ההוצאות'!$B:$B,"OpenAI",'כל ההוצאות'!$F:$F,"פברואר 2026")</f>
        <v/>
      </c>
      <c r="R22" s="42">
        <f>SUMIFS('כל ההוצאות'!$D:$D,'כל ההוצאות'!$B:$B,"OpenAI",'כל ההוצאות'!$F:$F,"מרץ 2026")</f>
        <v/>
      </c>
      <c r="S22" s="43">
        <f>SUMIFS('כל ההוצאות'!$E:$E,'כל ההוצאות'!$B:$B,"OpenAI",'כל ההוצאות'!$F:$F,"מרץ 2026")</f>
        <v/>
      </c>
      <c r="T22" s="42">
        <f>SUMIFS('כל ההוצאות'!$D:$D,'כל ההוצאות'!$B:$B,"OpenAI",'כל ההוצאות'!$F:$F,"אפריל 2026")</f>
        <v/>
      </c>
      <c r="U22" s="43">
        <f>SUMIFS('כל ההוצאות'!$E:$E,'כל ההוצאות'!$B:$B,"OpenAI",'כל ההוצאות'!$F:$F,"אפריל 2026")</f>
        <v/>
      </c>
      <c r="V22" s="42">
        <f>SUMIFS('כל ההוצאות'!$D:$D,'כל ההוצאות'!$B:$B,"OpenAI",'כל ההוצאות'!$F:$F,"מאי 2026")</f>
        <v/>
      </c>
      <c r="W22" s="43">
        <f>SUMIFS('כל ההוצאות'!$E:$E,'כל ההוצאות'!$B:$B,"OpenAI",'כל ההוצאות'!$F:$F,"מאי 2026")</f>
        <v/>
      </c>
      <c r="X22" s="42">
        <f>SUMIFS('כל ההוצאות'!$D:$D,'כל ההוצאות'!$B:$B,"OpenAI",'כל ההוצאות'!$F:$F,"יוני 2026")</f>
        <v/>
      </c>
      <c r="Y22" s="43">
        <f>SUMIFS('כל ההוצאות'!$E:$E,'כל ההוצאות'!$B:$B,"OpenAI",'כל ההוצאות'!$F:$F,"יוני 2026")</f>
        <v/>
      </c>
      <c r="Z22" s="42">
        <f>SUMIFS('כל ההוצאות'!$D:$D,'כל ההוצאות'!$B:$B,"OpenAI",'כל ההוצאות'!$F:$F,"יולי 2026")</f>
        <v/>
      </c>
      <c r="AA22" s="43">
        <f>SUMIFS('כל ההוצאות'!$E:$E,'כל ההוצאות'!$B:$B,"OpenAI",'כל ההוצאות'!$F:$F,"יולי 2026")</f>
        <v/>
      </c>
      <c r="AB22" s="42">
        <f>SUMIFS('כל ההוצאות'!$D:$D,'כל ההוצאות'!$B:$B,"OpenAI",'כל ההוצאות'!$F:$F,"אוגוסט 2026")</f>
        <v/>
      </c>
      <c r="AC22" s="43">
        <f>SUMIFS('כל ההוצאות'!$E:$E,'כל ההוצאות'!$B:$B,"OpenAI",'כל ההוצאות'!$F:$F,"אוגוסט 2026")</f>
        <v/>
      </c>
      <c r="AD22" s="42">
        <f>SUMIFS('כל ההוצאות'!$D:$D,'כל ההוצאות'!$B:$B,"OpenAI",'כל ההוצאות'!$F:$F,"ספטמבר 2026")</f>
        <v/>
      </c>
      <c r="AE22" s="43">
        <f>SUMIFS('כל ההוצאות'!$E:$E,'כל ההוצאות'!$B:$B,"OpenAI",'כל ההוצאות'!$F:$F,"ספטמבר 2026")</f>
        <v/>
      </c>
      <c r="AF22" s="42">
        <f>SUMIFS('כל ההוצאות'!$D:$D,'כל ההוצאות'!$B:$B,"OpenAI",'כל ההוצאות'!$F:$F,"אוקטובר 2026")</f>
        <v/>
      </c>
      <c r="AG22" s="43">
        <f>SUMIFS('כל ההוצאות'!$E:$E,'כל ההוצאות'!$B:$B,"OpenAI",'כל ההוצאות'!$F:$F,"אוקטובר 2026")</f>
        <v/>
      </c>
      <c r="AH22" s="42">
        <f>SUMIFS('כל ההוצאות'!$D:$D,'כל ההוצאות'!$B:$B,"OpenAI",'כל ההוצאות'!$F:$F,"נובמבר 2026")</f>
        <v/>
      </c>
      <c r="AI22" s="43">
        <f>SUMIFS('כל ההוצאות'!$E:$E,'כל ההוצאות'!$B:$B,"OpenAI",'כל ההוצאות'!$F:$F,"נובמבר 2026")</f>
        <v/>
      </c>
      <c r="AJ22" s="42">
        <f>SUMIFS('כל ההוצאות'!$D:$D,'כל ההוצאות'!$B:$B,"OpenAI",'כל ההוצאות'!$F:$F,"דצמבר 2026")</f>
        <v/>
      </c>
      <c r="AK22" s="43">
        <f>SUMIFS('כל ההוצאות'!$E:$E,'כל ההוצאות'!$B:$B,"OpenAI",'כל ההוצאות'!$F:$F,"דצמבר 2026")</f>
        <v/>
      </c>
      <c r="AL22" s="39">
        <f>SUM(B22,D22,F22,H22,J22,L22,N22,P22,R22,T22,V22,X22,Z22,AB22,AD22,AF22,AH22,AJ22)</f>
        <v/>
      </c>
      <c r="AM22" s="40">
        <f>SUM(C22,E22,G22,I22,K22,M22,O22,Q22,S22,U22,W22,Y22,AA22,AC22,AE22,AG22,AI22,AK22)</f>
        <v/>
      </c>
    </row>
    <row r="23">
      <c r="A23" s="36" t="inlineStr">
        <is>
          <t>Recraft</t>
        </is>
      </c>
      <c r="B23" s="37">
        <f>SUMIFS('כל ההוצאות'!$D:$D,'כל ההוצאות'!$B:$B,"Recraft",'כל ההוצאות'!$F:$F,"יולי 2025")</f>
        <v/>
      </c>
      <c r="C23" s="38">
        <f>SUMIFS('כל ההוצאות'!$E:$E,'כל ההוצאות'!$B:$B,"Recraft",'כל ההוצאות'!$F:$F,"יולי 2025")</f>
        <v/>
      </c>
      <c r="D23" s="37">
        <f>SUMIFS('כל ההוצאות'!$D:$D,'כל ההוצאות'!$B:$B,"Recraft",'כל ההוצאות'!$F:$F,"אוגוסט 2025")</f>
        <v/>
      </c>
      <c r="E23" s="38">
        <f>SUMIFS('כל ההוצאות'!$E:$E,'כל ההוצאות'!$B:$B,"Recraft",'כל ההוצאות'!$F:$F,"אוגוסט 2025")</f>
        <v/>
      </c>
      <c r="F23" s="37">
        <f>SUMIFS('כל ההוצאות'!$D:$D,'כל ההוצאות'!$B:$B,"Recraft",'כל ההוצאות'!$F:$F,"ספטמבר 2025")</f>
        <v/>
      </c>
      <c r="G23" s="38">
        <f>SUMIFS('כל ההוצאות'!$E:$E,'כל ההוצאות'!$B:$B,"Recraft",'כל ההוצאות'!$F:$F,"ספטמבר 2025")</f>
        <v/>
      </c>
      <c r="H23" s="37">
        <f>SUMIFS('כל ההוצאות'!$D:$D,'כל ההוצאות'!$B:$B,"Recraft",'כל ההוצאות'!$F:$F,"אוקטובר 2025")</f>
        <v/>
      </c>
      <c r="I23" s="38">
        <f>SUMIFS('כל ההוצאות'!$E:$E,'כל ההוצאות'!$B:$B,"Recraft",'כל ההוצאות'!$F:$F,"אוקטובר 2025")</f>
        <v/>
      </c>
      <c r="J23" s="37">
        <f>SUMIFS('כל ההוצאות'!$D:$D,'כל ההוצאות'!$B:$B,"Recraft",'כל ההוצאות'!$F:$F,"נובמבר 2025")</f>
        <v/>
      </c>
      <c r="K23" s="38">
        <f>SUMIFS('כל ההוצאות'!$E:$E,'כל ההוצאות'!$B:$B,"Recraft",'כל ההוצאות'!$F:$F,"נובמבר 2025")</f>
        <v/>
      </c>
      <c r="L23" s="37">
        <f>SUMIFS('כל ההוצאות'!$D:$D,'כל ההוצאות'!$B:$B,"Recraft",'כל ההוצאות'!$F:$F,"דצמבר 2025")</f>
        <v/>
      </c>
      <c r="M23" s="38">
        <f>SUMIFS('כל ההוצאות'!$E:$E,'כל ההוצאות'!$B:$B,"Recraft",'כל ההוצאות'!$F:$F,"דצמבר 2025")</f>
        <v/>
      </c>
      <c r="N23" s="37">
        <f>SUMIFS('כל ההוצאות'!$D:$D,'כל ההוצאות'!$B:$B,"Recraft",'כל ההוצאות'!$F:$F,"ינואר 2026")</f>
        <v/>
      </c>
      <c r="O23" s="38">
        <f>SUMIFS('כל ההוצאות'!$E:$E,'כל ההוצאות'!$B:$B,"Recraft",'כל ההוצאות'!$F:$F,"ינואר 2026")</f>
        <v/>
      </c>
      <c r="P23" s="37">
        <f>SUMIFS('כל ההוצאות'!$D:$D,'כל ההוצאות'!$B:$B,"Recraft",'כל ההוצאות'!$F:$F,"פברואר 2026")</f>
        <v/>
      </c>
      <c r="Q23" s="38">
        <f>SUMIFS('כל ההוצאות'!$E:$E,'כל ההוצאות'!$B:$B,"Recraft",'כל ההוצאות'!$F:$F,"פברואר 2026")</f>
        <v/>
      </c>
      <c r="R23" s="37">
        <f>SUMIFS('כל ההוצאות'!$D:$D,'כל ההוצאות'!$B:$B,"Recraft",'כל ההוצאות'!$F:$F,"מרץ 2026")</f>
        <v/>
      </c>
      <c r="S23" s="38">
        <f>SUMIFS('כל ההוצאות'!$E:$E,'כל ההוצאות'!$B:$B,"Recraft",'כל ההוצאות'!$F:$F,"מרץ 2026")</f>
        <v/>
      </c>
      <c r="T23" s="37">
        <f>SUMIFS('כל ההוצאות'!$D:$D,'כל ההוצאות'!$B:$B,"Recraft",'כל ההוצאות'!$F:$F,"אפריל 2026")</f>
        <v/>
      </c>
      <c r="U23" s="38">
        <f>SUMIFS('כל ההוצאות'!$E:$E,'כל ההוצאות'!$B:$B,"Recraft",'כל ההוצאות'!$F:$F,"אפריל 2026")</f>
        <v/>
      </c>
      <c r="V23" s="37">
        <f>SUMIFS('כל ההוצאות'!$D:$D,'כל ההוצאות'!$B:$B,"Recraft",'כל ההוצאות'!$F:$F,"מאי 2026")</f>
        <v/>
      </c>
      <c r="W23" s="38">
        <f>SUMIFS('כל ההוצאות'!$E:$E,'כל ההוצאות'!$B:$B,"Recraft",'כל ההוצאות'!$F:$F,"מאי 2026")</f>
        <v/>
      </c>
      <c r="X23" s="37">
        <f>SUMIFS('כל ההוצאות'!$D:$D,'כל ההוצאות'!$B:$B,"Recraft",'כל ההוצאות'!$F:$F,"יוני 2026")</f>
        <v/>
      </c>
      <c r="Y23" s="38">
        <f>SUMIFS('כל ההוצאות'!$E:$E,'כל ההוצאות'!$B:$B,"Recraft",'כל ההוצאות'!$F:$F,"יוני 2026")</f>
        <v/>
      </c>
      <c r="Z23" s="37">
        <f>SUMIFS('כל ההוצאות'!$D:$D,'כל ההוצאות'!$B:$B,"Recraft",'כל ההוצאות'!$F:$F,"יולי 2026")</f>
        <v/>
      </c>
      <c r="AA23" s="38">
        <f>SUMIFS('כל ההוצאות'!$E:$E,'כל ההוצאות'!$B:$B,"Recraft",'כל ההוצאות'!$F:$F,"יולי 2026")</f>
        <v/>
      </c>
      <c r="AB23" s="37">
        <f>SUMIFS('כל ההוצאות'!$D:$D,'כל ההוצאות'!$B:$B,"Recraft",'כל ההוצאות'!$F:$F,"אוגוסט 2026")</f>
        <v/>
      </c>
      <c r="AC23" s="38">
        <f>SUMIFS('כל ההוצאות'!$E:$E,'כל ההוצאות'!$B:$B,"Recraft",'כל ההוצאות'!$F:$F,"אוגוסט 2026")</f>
        <v/>
      </c>
      <c r="AD23" s="37">
        <f>SUMIFS('כל ההוצאות'!$D:$D,'כל ההוצאות'!$B:$B,"Recraft",'כל ההוצאות'!$F:$F,"ספטמבר 2026")</f>
        <v/>
      </c>
      <c r="AE23" s="38">
        <f>SUMIFS('כל ההוצאות'!$E:$E,'כל ההוצאות'!$B:$B,"Recraft",'כל ההוצאות'!$F:$F,"ספטמבר 2026")</f>
        <v/>
      </c>
      <c r="AF23" s="37">
        <f>SUMIFS('כל ההוצאות'!$D:$D,'כל ההוצאות'!$B:$B,"Recraft",'כל ההוצאות'!$F:$F,"אוקטובר 2026")</f>
        <v/>
      </c>
      <c r="AG23" s="38">
        <f>SUMIFS('כל ההוצאות'!$E:$E,'כל ההוצאות'!$B:$B,"Recraft",'כל ההוצאות'!$F:$F,"אוקטובר 2026")</f>
        <v/>
      </c>
      <c r="AH23" s="37">
        <f>SUMIFS('כל ההוצאות'!$D:$D,'כל ההוצאות'!$B:$B,"Recraft",'כל ההוצאות'!$F:$F,"נובמבר 2026")</f>
        <v/>
      </c>
      <c r="AI23" s="38">
        <f>SUMIFS('כל ההוצאות'!$E:$E,'כל ההוצאות'!$B:$B,"Recraft",'כל ההוצאות'!$F:$F,"נובמבר 2026")</f>
        <v/>
      </c>
      <c r="AJ23" s="37">
        <f>SUMIFS('כל ההוצאות'!$D:$D,'כל ההוצאות'!$B:$B,"Recraft",'כל ההוצאות'!$F:$F,"דצמבר 2026")</f>
        <v/>
      </c>
      <c r="AK23" s="38">
        <f>SUMIFS('כל ההוצאות'!$E:$E,'כל ההוצאות'!$B:$B,"Recraft",'כל ההוצאות'!$F:$F,"דצמבר 2026")</f>
        <v/>
      </c>
      <c r="AL23" s="39">
        <f>SUM(B23,D23,F23,H23,J23,L23,N23,P23,R23,T23,V23,X23,Z23,AB23,AD23,AF23,AH23,AJ23)</f>
        <v/>
      </c>
      <c r="AM23" s="40">
        <f>SUM(C23,E23,G23,I23,K23,M23,O23,Q23,S23,U23,W23,Y23,AA23,AC23,AE23,AG23,AI23,AK23)</f>
        <v/>
      </c>
    </row>
    <row r="24">
      <c r="A24" s="41" t="inlineStr">
        <is>
          <t>Replicate</t>
        </is>
      </c>
      <c r="B24" s="42">
        <f>SUMIFS('כל ההוצאות'!$D:$D,'כל ההוצאות'!$B:$B,"Replicate",'כל ההוצאות'!$F:$F,"יולי 2025")</f>
        <v/>
      </c>
      <c r="C24" s="43">
        <f>SUMIFS('כל ההוצאות'!$E:$E,'כל ההוצאות'!$B:$B,"Replicate",'כל ההוצאות'!$F:$F,"יולי 2025")</f>
        <v/>
      </c>
      <c r="D24" s="42">
        <f>SUMIFS('כל ההוצאות'!$D:$D,'כל ההוצאות'!$B:$B,"Replicate",'כל ההוצאות'!$F:$F,"אוגוסט 2025")</f>
        <v/>
      </c>
      <c r="E24" s="43">
        <f>SUMIFS('כל ההוצאות'!$E:$E,'כל ההוצאות'!$B:$B,"Replicate",'כל ההוצאות'!$F:$F,"אוגוסט 2025")</f>
        <v/>
      </c>
      <c r="F24" s="42">
        <f>SUMIFS('כל ההוצאות'!$D:$D,'כל ההוצאות'!$B:$B,"Replicate",'כל ההוצאות'!$F:$F,"ספטמבר 2025")</f>
        <v/>
      </c>
      <c r="G24" s="43">
        <f>SUMIFS('כל ההוצאות'!$E:$E,'כל ההוצאות'!$B:$B,"Replicate",'כל ההוצאות'!$F:$F,"ספטמבר 2025")</f>
        <v/>
      </c>
      <c r="H24" s="42">
        <f>SUMIFS('כל ההוצאות'!$D:$D,'כל ההוצאות'!$B:$B,"Replicate",'כל ההוצאות'!$F:$F,"אוקטובר 2025")</f>
        <v/>
      </c>
      <c r="I24" s="43">
        <f>SUMIFS('כל ההוצאות'!$E:$E,'כל ההוצאות'!$B:$B,"Replicate",'כל ההוצאות'!$F:$F,"אוקטובר 2025")</f>
        <v/>
      </c>
      <c r="J24" s="42">
        <f>SUMIFS('כל ההוצאות'!$D:$D,'כל ההוצאות'!$B:$B,"Replicate",'כל ההוצאות'!$F:$F,"נובמבר 2025")</f>
        <v/>
      </c>
      <c r="K24" s="43">
        <f>SUMIFS('כל ההוצאות'!$E:$E,'כל ההוצאות'!$B:$B,"Replicate",'כל ההוצאות'!$F:$F,"נובמבר 2025")</f>
        <v/>
      </c>
      <c r="L24" s="42">
        <f>SUMIFS('כל ההוצאות'!$D:$D,'כל ההוצאות'!$B:$B,"Replicate",'כל ההוצאות'!$F:$F,"דצמבר 2025")</f>
        <v/>
      </c>
      <c r="M24" s="43">
        <f>SUMIFS('כל ההוצאות'!$E:$E,'כל ההוצאות'!$B:$B,"Replicate",'כל ההוצאות'!$F:$F,"דצמבר 2025")</f>
        <v/>
      </c>
      <c r="N24" s="42">
        <f>SUMIFS('כל ההוצאות'!$D:$D,'כל ההוצאות'!$B:$B,"Replicate",'כל ההוצאות'!$F:$F,"ינואר 2026")</f>
        <v/>
      </c>
      <c r="O24" s="43">
        <f>SUMIFS('כל ההוצאות'!$E:$E,'כל ההוצאות'!$B:$B,"Replicate",'כל ההוצאות'!$F:$F,"ינואר 2026")</f>
        <v/>
      </c>
      <c r="P24" s="42">
        <f>SUMIFS('כל ההוצאות'!$D:$D,'כל ההוצאות'!$B:$B,"Replicate",'כל ההוצאות'!$F:$F,"פברואר 2026")</f>
        <v/>
      </c>
      <c r="Q24" s="43">
        <f>SUMIFS('כל ההוצאות'!$E:$E,'כל ההוצאות'!$B:$B,"Replicate",'כל ההוצאות'!$F:$F,"פברואר 2026")</f>
        <v/>
      </c>
      <c r="R24" s="42">
        <f>SUMIFS('כל ההוצאות'!$D:$D,'כל ההוצאות'!$B:$B,"Replicate",'כל ההוצאות'!$F:$F,"מרץ 2026")</f>
        <v/>
      </c>
      <c r="S24" s="43">
        <f>SUMIFS('כל ההוצאות'!$E:$E,'כל ההוצאות'!$B:$B,"Replicate",'כל ההוצאות'!$F:$F,"מרץ 2026")</f>
        <v/>
      </c>
      <c r="T24" s="42">
        <f>SUMIFS('כל ההוצאות'!$D:$D,'כל ההוצאות'!$B:$B,"Replicate",'כל ההוצאות'!$F:$F,"אפריל 2026")</f>
        <v/>
      </c>
      <c r="U24" s="43">
        <f>SUMIFS('כל ההוצאות'!$E:$E,'כל ההוצאות'!$B:$B,"Replicate",'כל ההוצאות'!$F:$F,"אפריל 2026")</f>
        <v/>
      </c>
      <c r="V24" s="42">
        <f>SUMIFS('כל ההוצאות'!$D:$D,'כל ההוצאות'!$B:$B,"Replicate",'כל ההוצאות'!$F:$F,"מאי 2026")</f>
        <v/>
      </c>
      <c r="W24" s="43">
        <f>SUMIFS('כל ההוצאות'!$E:$E,'כל ההוצאות'!$B:$B,"Replicate",'כל ההוצאות'!$F:$F,"מאי 2026")</f>
        <v/>
      </c>
      <c r="X24" s="42">
        <f>SUMIFS('כל ההוצאות'!$D:$D,'כל ההוצאות'!$B:$B,"Replicate",'כל ההוצאות'!$F:$F,"יוני 2026")</f>
        <v/>
      </c>
      <c r="Y24" s="43">
        <f>SUMIFS('כל ההוצאות'!$E:$E,'כל ההוצאות'!$B:$B,"Replicate",'כל ההוצאות'!$F:$F,"יוני 2026")</f>
        <v/>
      </c>
      <c r="Z24" s="42">
        <f>SUMIFS('כל ההוצאות'!$D:$D,'כל ההוצאות'!$B:$B,"Replicate",'כל ההוצאות'!$F:$F,"יולי 2026")</f>
        <v/>
      </c>
      <c r="AA24" s="43">
        <f>SUMIFS('כל ההוצאות'!$E:$E,'כל ההוצאות'!$B:$B,"Replicate",'כל ההוצאות'!$F:$F,"יולי 2026")</f>
        <v/>
      </c>
      <c r="AB24" s="42">
        <f>SUMIFS('כל ההוצאות'!$D:$D,'כל ההוצאות'!$B:$B,"Replicate",'כל ההוצאות'!$F:$F,"אוגוסט 2026")</f>
        <v/>
      </c>
      <c r="AC24" s="43">
        <f>SUMIFS('כל ההוצאות'!$E:$E,'כל ההוצאות'!$B:$B,"Replicate",'כל ההוצאות'!$F:$F,"אוגוסט 2026")</f>
        <v/>
      </c>
      <c r="AD24" s="42">
        <f>SUMIFS('כל ההוצאות'!$D:$D,'כל ההוצאות'!$B:$B,"Replicate",'כל ההוצאות'!$F:$F,"ספטמבר 2026")</f>
        <v/>
      </c>
      <c r="AE24" s="43">
        <f>SUMIFS('כל ההוצאות'!$E:$E,'כל ההוצאות'!$B:$B,"Replicate",'כל ההוצאות'!$F:$F,"ספטמבר 2026")</f>
        <v/>
      </c>
      <c r="AF24" s="42">
        <f>SUMIFS('כל ההוצאות'!$D:$D,'כל ההוצאות'!$B:$B,"Replicate",'כל ההוצאות'!$F:$F,"אוקטובר 2026")</f>
        <v/>
      </c>
      <c r="AG24" s="43">
        <f>SUMIFS('כל ההוצאות'!$E:$E,'כל ההוצאות'!$B:$B,"Replicate",'כל ההוצאות'!$F:$F,"אוקטובר 2026")</f>
        <v/>
      </c>
      <c r="AH24" s="42">
        <f>SUMIFS('כל ההוצאות'!$D:$D,'כל ההוצאות'!$B:$B,"Replicate",'כל ההוצאות'!$F:$F,"נובמבר 2026")</f>
        <v/>
      </c>
      <c r="AI24" s="43">
        <f>SUMIFS('כל ההוצאות'!$E:$E,'כל ההוצאות'!$B:$B,"Replicate",'כל ההוצאות'!$F:$F,"נובמבר 2026")</f>
        <v/>
      </c>
      <c r="AJ24" s="42">
        <f>SUMIFS('כל ההוצאות'!$D:$D,'כל ההוצאות'!$B:$B,"Replicate",'כל ההוצאות'!$F:$F,"דצמבר 2026")</f>
        <v/>
      </c>
      <c r="AK24" s="43">
        <f>SUMIFS('כל ההוצאות'!$E:$E,'כל ההוצאות'!$B:$B,"Replicate",'כל ההוצאות'!$F:$F,"דצמבר 2026")</f>
        <v/>
      </c>
      <c r="AL24" s="39">
        <f>SUM(B24,D24,F24,H24,J24,L24,N24,P24,R24,T24,V24,X24,Z24,AB24,AD24,AF24,AH24,AJ24)</f>
        <v/>
      </c>
      <c r="AM24" s="40">
        <f>SUM(C24,E24,G24,I24,K24,M24,O24,Q24,S24,U24,W24,Y24,AA24,AC24,AE24,AG24,AI24,AK24)</f>
        <v/>
      </c>
    </row>
    <row r="25">
      <c r="A25" s="36" t="inlineStr">
        <is>
          <t>Runway ML</t>
        </is>
      </c>
      <c r="B25" s="37">
        <f>SUMIFS('כל ההוצאות'!$D:$D,'כל ההוצאות'!$B:$B,"Runway ML",'כל ההוצאות'!$F:$F,"יולי 2025")</f>
        <v/>
      </c>
      <c r="C25" s="38">
        <f>SUMIFS('כל ההוצאות'!$E:$E,'כל ההוצאות'!$B:$B,"Runway ML",'כל ההוצאות'!$F:$F,"יולי 2025")</f>
        <v/>
      </c>
      <c r="D25" s="37">
        <f>SUMIFS('כל ההוצאות'!$D:$D,'כל ההוצאות'!$B:$B,"Runway ML",'כל ההוצאות'!$F:$F,"אוגוסט 2025")</f>
        <v/>
      </c>
      <c r="E25" s="38">
        <f>SUMIFS('כל ההוצאות'!$E:$E,'כל ההוצאות'!$B:$B,"Runway ML",'כל ההוצאות'!$F:$F,"אוגוסט 2025")</f>
        <v/>
      </c>
      <c r="F25" s="37">
        <f>SUMIFS('כל ההוצאות'!$D:$D,'כל ההוצאות'!$B:$B,"Runway ML",'כל ההוצאות'!$F:$F,"ספטמבר 2025")</f>
        <v/>
      </c>
      <c r="G25" s="38">
        <f>SUMIFS('כל ההוצאות'!$E:$E,'כל ההוצאות'!$B:$B,"Runway ML",'כל ההוצאות'!$F:$F,"ספטמבר 2025")</f>
        <v/>
      </c>
      <c r="H25" s="37">
        <f>SUMIFS('כל ההוצאות'!$D:$D,'כל ההוצאות'!$B:$B,"Runway ML",'כל ההוצאות'!$F:$F,"אוקטובר 2025")</f>
        <v/>
      </c>
      <c r="I25" s="38">
        <f>SUMIFS('כל ההוצאות'!$E:$E,'כל ההוצאות'!$B:$B,"Runway ML",'כל ההוצאות'!$F:$F,"אוקטובר 2025")</f>
        <v/>
      </c>
      <c r="J25" s="37">
        <f>SUMIFS('כל ההוצאות'!$D:$D,'כל ההוצאות'!$B:$B,"Runway ML",'כל ההוצאות'!$F:$F,"נובמבר 2025")</f>
        <v/>
      </c>
      <c r="K25" s="38">
        <f>SUMIFS('כל ההוצאות'!$E:$E,'כל ההוצאות'!$B:$B,"Runway ML",'כל ההוצאות'!$F:$F,"נובמבר 2025")</f>
        <v/>
      </c>
      <c r="L25" s="37">
        <f>SUMIFS('כל ההוצאות'!$D:$D,'כל ההוצאות'!$B:$B,"Runway ML",'כל ההוצאות'!$F:$F,"דצמבר 2025")</f>
        <v/>
      </c>
      <c r="M25" s="38">
        <f>SUMIFS('כל ההוצאות'!$E:$E,'כל ההוצאות'!$B:$B,"Runway ML",'כל ההוצאות'!$F:$F,"דצמבר 2025")</f>
        <v/>
      </c>
      <c r="N25" s="37">
        <f>SUMIFS('כל ההוצאות'!$D:$D,'כל ההוצאות'!$B:$B,"Runway ML",'כל ההוצאות'!$F:$F,"ינואר 2026")</f>
        <v/>
      </c>
      <c r="O25" s="38">
        <f>SUMIFS('כל ההוצאות'!$E:$E,'כל ההוצאות'!$B:$B,"Runway ML",'כל ההוצאות'!$F:$F,"ינואר 2026")</f>
        <v/>
      </c>
      <c r="P25" s="37">
        <f>SUMIFS('כל ההוצאות'!$D:$D,'כל ההוצאות'!$B:$B,"Runway ML",'כל ההוצאות'!$F:$F,"פברואר 2026")</f>
        <v/>
      </c>
      <c r="Q25" s="38">
        <f>SUMIFS('כל ההוצאות'!$E:$E,'כל ההוצאות'!$B:$B,"Runway ML",'כל ההוצאות'!$F:$F,"פברואר 2026")</f>
        <v/>
      </c>
      <c r="R25" s="37">
        <f>SUMIFS('כל ההוצאות'!$D:$D,'כל ההוצאות'!$B:$B,"Runway ML",'כל ההוצאות'!$F:$F,"מרץ 2026")</f>
        <v/>
      </c>
      <c r="S25" s="38">
        <f>SUMIFS('כל ההוצאות'!$E:$E,'כל ההוצאות'!$B:$B,"Runway ML",'כל ההוצאות'!$F:$F,"מרץ 2026")</f>
        <v/>
      </c>
      <c r="T25" s="37">
        <f>SUMIFS('כל ההוצאות'!$D:$D,'כל ההוצאות'!$B:$B,"Runway ML",'כל ההוצאות'!$F:$F,"אפריל 2026")</f>
        <v/>
      </c>
      <c r="U25" s="38">
        <f>SUMIFS('כל ההוצאות'!$E:$E,'כל ההוצאות'!$B:$B,"Runway ML",'כל ההוצאות'!$F:$F,"אפריל 2026")</f>
        <v/>
      </c>
      <c r="V25" s="37">
        <f>SUMIFS('כל ההוצאות'!$D:$D,'כל ההוצאות'!$B:$B,"Runway ML",'כל ההוצאות'!$F:$F,"מאי 2026")</f>
        <v/>
      </c>
      <c r="W25" s="38">
        <f>SUMIFS('כל ההוצאות'!$E:$E,'כל ההוצאות'!$B:$B,"Runway ML",'כל ההוצאות'!$F:$F,"מאי 2026")</f>
        <v/>
      </c>
      <c r="X25" s="37">
        <f>SUMIFS('כל ההוצאות'!$D:$D,'כל ההוצאות'!$B:$B,"Runway ML",'כל ההוצאות'!$F:$F,"יוני 2026")</f>
        <v/>
      </c>
      <c r="Y25" s="38">
        <f>SUMIFS('כל ההוצאות'!$E:$E,'כל ההוצאות'!$B:$B,"Runway ML",'כל ההוצאות'!$F:$F,"יוני 2026")</f>
        <v/>
      </c>
      <c r="Z25" s="37">
        <f>SUMIFS('כל ההוצאות'!$D:$D,'כל ההוצאות'!$B:$B,"Runway ML",'כל ההוצאות'!$F:$F,"יולי 2026")</f>
        <v/>
      </c>
      <c r="AA25" s="38">
        <f>SUMIFS('כל ההוצאות'!$E:$E,'כל ההוצאות'!$B:$B,"Runway ML",'כל ההוצאות'!$F:$F,"יולי 2026")</f>
        <v/>
      </c>
      <c r="AB25" s="37">
        <f>SUMIFS('כל ההוצאות'!$D:$D,'כל ההוצאות'!$B:$B,"Runway ML",'כל ההוצאות'!$F:$F,"אוגוסט 2026")</f>
        <v/>
      </c>
      <c r="AC25" s="38">
        <f>SUMIFS('כל ההוצאות'!$E:$E,'כל ההוצאות'!$B:$B,"Runway ML",'כל ההוצאות'!$F:$F,"אוגוסט 2026")</f>
        <v/>
      </c>
      <c r="AD25" s="37">
        <f>SUMIFS('כל ההוצאות'!$D:$D,'כל ההוצאות'!$B:$B,"Runway ML",'כל ההוצאות'!$F:$F,"ספטמבר 2026")</f>
        <v/>
      </c>
      <c r="AE25" s="38">
        <f>SUMIFS('כל ההוצאות'!$E:$E,'כל ההוצאות'!$B:$B,"Runway ML",'כל ההוצאות'!$F:$F,"ספטמבר 2026")</f>
        <v/>
      </c>
      <c r="AF25" s="37">
        <f>SUMIFS('כל ההוצאות'!$D:$D,'כל ההוצאות'!$B:$B,"Runway ML",'כל ההוצאות'!$F:$F,"אוקטובר 2026")</f>
        <v/>
      </c>
      <c r="AG25" s="38">
        <f>SUMIFS('כל ההוצאות'!$E:$E,'כל ההוצאות'!$B:$B,"Runway ML",'כל ההוצאות'!$F:$F,"אוקטובר 2026")</f>
        <v/>
      </c>
      <c r="AH25" s="37">
        <f>SUMIFS('כל ההוצאות'!$D:$D,'כל ההוצאות'!$B:$B,"Runway ML",'כל ההוצאות'!$F:$F,"נובמבר 2026")</f>
        <v/>
      </c>
      <c r="AI25" s="38">
        <f>SUMIFS('כל ההוצאות'!$E:$E,'כל ההוצאות'!$B:$B,"Runway ML",'כל ההוצאות'!$F:$F,"נובמבר 2026")</f>
        <v/>
      </c>
      <c r="AJ25" s="37">
        <f>SUMIFS('כל ההוצאות'!$D:$D,'כל ההוצאות'!$B:$B,"Runway ML",'כל ההוצאות'!$F:$F,"דצמבר 2026")</f>
        <v/>
      </c>
      <c r="AK25" s="38">
        <f>SUMIFS('כל ההוצאות'!$E:$E,'כל ההוצאות'!$B:$B,"Runway ML",'כל ההוצאות'!$F:$F,"דצמבר 2026")</f>
        <v/>
      </c>
      <c r="AL25" s="39">
        <f>SUM(B25,D25,F25,H25,J25,L25,N25,P25,R25,T25,V25,X25,Z25,AB25,AD25,AF25,AH25,AJ25)</f>
        <v/>
      </c>
      <c r="AM25" s="40">
        <f>SUM(C25,E25,G25,I25,K25,M25,O25,Q25,S25,U25,W25,Y25,AA25,AC25,AE25,AG25,AI25,AK25)</f>
        <v/>
      </c>
    </row>
    <row r="26">
      <c r="A26" s="41" t="inlineStr">
        <is>
          <t>Supabase</t>
        </is>
      </c>
      <c r="B26" s="42">
        <f>SUMIFS('כל ההוצאות'!$D:$D,'כל ההוצאות'!$B:$B,"Supabase",'כל ההוצאות'!$F:$F,"יולי 2025")</f>
        <v/>
      </c>
      <c r="C26" s="43">
        <f>SUMIFS('כל ההוצאות'!$E:$E,'כל ההוצאות'!$B:$B,"Supabase",'כל ההוצאות'!$F:$F,"יולי 2025")</f>
        <v/>
      </c>
      <c r="D26" s="42">
        <f>SUMIFS('כל ההוצאות'!$D:$D,'כל ההוצאות'!$B:$B,"Supabase",'כל ההוצאות'!$F:$F,"אוגוסט 2025")</f>
        <v/>
      </c>
      <c r="E26" s="43">
        <f>SUMIFS('כל ההוצאות'!$E:$E,'כל ההוצאות'!$B:$B,"Supabase",'כל ההוצאות'!$F:$F,"אוגוסט 2025")</f>
        <v/>
      </c>
      <c r="F26" s="42">
        <f>SUMIFS('כל ההוצאות'!$D:$D,'כל ההוצאות'!$B:$B,"Supabase",'כל ההוצאות'!$F:$F,"ספטמבר 2025")</f>
        <v/>
      </c>
      <c r="G26" s="43">
        <f>SUMIFS('כל ההוצאות'!$E:$E,'כל ההוצאות'!$B:$B,"Supabase",'כל ההוצאות'!$F:$F,"ספטמבר 2025")</f>
        <v/>
      </c>
      <c r="H26" s="42">
        <f>SUMIFS('כל ההוצאות'!$D:$D,'כל ההוצאות'!$B:$B,"Supabase",'כל ההוצאות'!$F:$F,"אוקטובר 2025")</f>
        <v/>
      </c>
      <c r="I26" s="43">
        <f>SUMIFS('כל ההוצאות'!$E:$E,'כל ההוצאות'!$B:$B,"Supabase",'כל ההוצאות'!$F:$F,"אוקטובר 2025")</f>
        <v/>
      </c>
      <c r="J26" s="42">
        <f>SUMIFS('כל ההוצאות'!$D:$D,'כל ההוצאות'!$B:$B,"Supabase",'כל ההוצאות'!$F:$F,"נובמבר 2025")</f>
        <v/>
      </c>
      <c r="K26" s="43">
        <f>SUMIFS('כל ההוצאות'!$E:$E,'כל ההוצאות'!$B:$B,"Supabase",'כל ההוצאות'!$F:$F,"נובמבר 2025")</f>
        <v/>
      </c>
      <c r="L26" s="42">
        <f>SUMIFS('כל ההוצאות'!$D:$D,'כל ההוצאות'!$B:$B,"Supabase",'כל ההוצאות'!$F:$F,"דצמבר 2025")</f>
        <v/>
      </c>
      <c r="M26" s="43">
        <f>SUMIFS('כל ההוצאות'!$E:$E,'כל ההוצאות'!$B:$B,"Supabase",'כל ההוצאות'!$F:$F,"דצמבר 2025")</f>
        <v/>
      </c>
      <c r="N26" s="42">
        <f>SUMIFS('כל ההוצאות'!$D:$D,'כל ההוצאות'!$B:$B,"Supabase",'כל ההוצאות'!$F:$F,"ינואר 2026")</f>
        <v/>
      </c>
      <c r="O26" s="43">
        <f>SUMIFS('כל ההוצאות'!$E:$E,'כל ההוצאות'!$B:$B,"Supabase",'כל ההוצאות'!$F:$F,"ינואר 2026")</f>
        <v/>
      </c>
      <c r="P26" s="42">
        <f>SUMIFS('כל ההוצאות'!$D:$D,'כל ההוצאות'!$B:$B,"Supabase",'כל ההוצאות'!$F:$F,"פברואר 2026")</f>
        <v/>
      </c>
      <c r="Q26" s="43">
        <f>SUMIFS('כל ההוצאות'!$E:$E,'כל ההוצאות'!$B:$B,"Supabase",'כל ההוצאות'!$F:$F,"פברואר 2026")</f>
        <v/>
      </c>
      <c r="R26" s="42">
        <f>SUMIFS('כל ההוצאות'!$D:$D,'כל ההוצאות'!$B:$B,"Supabase",'כל ההוצאות'!$F:$F,"מרץ 2026")</f>
        <v/>
      </c>
      <c r="S26" s="43">
        <f>SUMIFS('כל ההוצאות'!$E:$E,'כל ההוצאות'!$B:$B,"Supabase",'כל ההוצאות'!$F:$F,"מרץ 2026")</f>
        <v/>
      </c>
      <c r="T26" s="42">
        <f>SUMIFS('כל ההוצאות'!$D:$D,'כל ההוצאות'!$B:$B,"Supabase",'כל ההוצאות'!$F:$F,"אפריל 2026")</f>
        <v/>
      </c>
      <c r="U26" s="43">
        <f>SUMIFS('כל ההוצאות'!$E:$E,'כל ההוצאות'!$B:$B,"Supabase",'כל ההוצאות'!$F:$F,"אפריל 2026")</f>
        <v/>
      </c>
      <c r="V26" s="42">
        <f>SUMIFS('כל ההוצאות'!$D:$D,'כל ההוצאות'!$B:$B,"Supabase",'כל ההוצאות'!$F:$F,"מאי 2026")</f>
        <v/>
      </c>
      <c r="W26" s="43">
        <f>SUMIFS('כל ההוצאות'!$E:$E,'כל ההוצאות'!$B:$B,"Supabase",'כל ההוצאות'!$F:$F,"מאי 2026")</f>
        <v/>
      </c>
      <c r="X26" s="42">
        <f>SUMIFS('כל ההוצאות'!$D:$D,'כל ההוצאות'!$B:$B,"Supabase",'כל ההוצאות'!$F:$F,"יוני 2026")</f>
        <v/>
      </c>
      <c r="Y26" s="43">
        <f>SUMIFS('כל ההוצאות'!$E:$E,'כל ההוצאות'!$B:$B,"Supabase",'כל ההוצאות'!$F:$F,"יוני 2026")</f>
        <v/>
      </c>
      <c r="Z26" s="42">
        <f>SUMIFS('כל ההוצאות'!$D:$D,'כל ההוצאות'!$B:$B,"Supabase",'כל ההוצאות'!$F:$F,"יולי 2026")</f>
        <v/>
      </c>
      <c r="AA26" s="43">
        <f>SUMIFS('כל ההוצאות'!$E:$E,'כל ההוצאות'!$B:$B,"Supabase",'כל ההוצאות'!$F:$F,"יולי 2026")</f>
        <v/>
      </c>
      <c r="AB26" s="42">
        <f>SUMIFS('כל ההוצאות'!$D:$D,'כל ההוצאות'!$B:$B,"Supabase",'כל ההוצאות'!$F:$F,"אוגוסט 2026")</f>
        <v/>
      </c>
      <c r="AC26" s="43">
        <f>SUMIFS('כל ההוצאות'!$E:$E,'כל ההוצאות'!$B:$B,"Supabase",'כל ההוצאות'!$F:$F,"אוגוסט 2026")</f>
        <v/>
      </c>
      <c r="AD26" s="42">
        <f>SUMIFS('כל ההוצאות'!$D:$D,'כל ההוצאות'!$B:$B,"Supabase",'כל ההוצאות'!$F:$F,"ספטמבר 2026")</f>
        <v/>
      </c>
      <c r="AE26" s="43">
        <f>SUMIFS('כל ההוצאות'!$E:$E,'כל ההוצאות'!$B:$B,"Supabase",'כל ההוצאות'!$F:$F,"ספטמבר 2026")</f>
        <v/>
      </c>
      <c r="AF26" s="42">
        <f>SUMIFS('כל ההוצאות'!$D:$D,'כל ההוצאות'!$B:$B,"Supabase",'כל ההוצאות'!$F:$F,"אוקטובר 2026")</f>
        <v/>
      </c>
      <c r="AG26" s="43">
        <f>SUMIFS('כל ההוצאות'!$E:$E,'כל ההוצאות'!$B:$B,"Supabase",'כל ההוצאות'!$F:$F,"אוקטובר 2026")</f>
        <v/>
      </c>
      <c r="AH26" s="42">
        <f>SUMIFS('כל ההוצאות'!$D:$D,'כל ההוצאות'!$B:$B,"Supabase",'כל ההוצאות'!$F:$F,"נובמבר 2026")</f>
        <v/>
      </c>
      <c r="AI26" s="43">
        <f>SUMIFS('כל ההוצאות'!$E:$E,'כל ההוצאות'!$B:$B,"Supabase",'כל ההוצאות'!$F:$F,"נובמבר 2026")</f>
        <v/>
      </c>
      <c r="AJ26" s="42">
        <f>SUMIFS('כל ההוצאות'!$D:$D,'כל ההוצאות'!$B:$B,"Supabase",'כל ההוצאות'!$F:$F,"דצמבר 2026")</f>
        <v/>
      </c>
      <c r="AK26" s="43">
        <f>SUMIFS('כל ההוצאות'!$E:$E,'כל ההוצאות'!$B:$B,"Supabase",'כל ההוצאות'!$F:$F,"דצמבר 2026")</f>
        <v/>
      </c>
      <c r="AL26" s="39">
        <f>SUM(B26,D26,F26,H26,J26,L26,N26,P26,R26,T26,V26,X26,Z26,AB26,AD26,AF26,AH26,AJ26)</f>
        <v/>
      </c>
      <c r="AM26" s="40">
        <f>SUM(C26,E26,G26,I26,K26,M26,O26,Q26,S26,U26,W26,Y26,AA26,AC26,AE26,AG26,AI26,AK26)</f>
        <v/>
      </c>
    </row>
    <row r="27">
      <c r="A27" s="36" t="inlineStr">
        <is>
          <t>Timeless</t>
        </is>
      </c>
      <c r="B27" s="37">
        <f>SUMIFS('כל ההוצאות'!$D:$D,'כל ההוצאות'!$B:$B,"Timeless",'כל ההוצאות'!$F:$F,"יולי 2025")</f>
        <v/>
      </c>
      <c r="C27" s="38">
        <f>SUMIFS('כל ההוצאות'!$E:$E,'כל ההוצאות'!$B:$B,"Timeless",'כל ההוצאות'!$F:$F,"יולי 2025")</f>
        <v/>
      </c>
      <c r="D27" s="37">
        <f>SUMIFS('כל ההוצאות'!$D:$D,'כל ההוצאות'!$B:$B,"Timeless",'כל ההוצאות'!$F:$F,"אוגוסט 2025")</f>
        <v/>
      </c>
      <c r="E27" s="38">
        <f>SUMIFS('כל ההוצאות'!$E:$E,'כל ההוצאות'!$B:$B,"Timeless",'כל ההוצאות'!$F:$F,"אוגוסט 2025")</f>
        <v/>
      </c>
      <c r="F27" s="37">
        <f>SUMIFS('כל ההוצאות'!$D:$D,'כל ההוצאות'!$B:$B,"Timeless",'כל ההוצאות'!$F:$F,"ספטמבר 2025")</f>
        <v/>
      </c>
      <c r="G27" s="38">
        <f>SUMIFS('כל ההוצאות'!$E:$E,'כל ההוצאות'!$B:$B,"Timeless",'כל ההוצאות'!$F:$F,"ספטמבר 2025")</f>
        <v/>
      </c>
      <c r="H27" s="37">
        <f>SUMIFS('כל ההוצאות'!$D:$D,'כל ההוצאות'!$B:$B,"Timeless",'כל ההוצאות'!$F:$F,"אוקטובר 2025")</f>
        <v/>
      </c>
      <c r="I27" s="38">
        <f>SUMIFS('כל ההוצאות'!$E:$E,'כל ההוצאות'!$B:$B,"Timeless",'כל ההוצאות'!$F:$F,"אוקטובר 2025")</f>
        <v/>
      </c>
      <c r="J27" s="37">
        <f>SUMIFS('כל ההוצאות'!$D:$D,'כל ההוצאות'!$B:$B,"Timeless",'כל ההוצאות'!$F:$F,"נובמבר 2025")</f>
        <v/>
      </c>
      <c r="K27" s="38">
        <f>SUMIFS('כל ההוצאות'!$E:$E,'כל ההוצאות'!$B:$B,"Timeless",'כל ההוצאות'!$F:$F,"נובמבר 2025")</f>
        <v/>
      </c>
      <c r="L27" s="37">
        <f>SUMIFS('כל ההוצאות'!$D:$D,'כל ההוצאות'!$B:$B,"Timeless",'כל ההוצאות'!$F:$F,"דצמבר 2025")</f>
        <v/>
      </c>
      <c r="M27" s="38">
        <f>SUMIFS('כל ההוצאות'!$E:$E,'כל ההוצאות'!$B:$B,"Timeless",'כל ההוצאות'!$F:$F,"דצמבר 2025")</f>
        <v/>
      </c>
      <c r="N27" s="37">
        <f>SUMIFS('כל ההוצאות'!$D:$D,'כל ההוצאות'!$B:$B,"Timeless",'כל ההוצאות'!$F:$F,"ינואר 2026")</f>
        <v/>
      </c>
      <c r="O27" s="38">
        <f>SUMIFS('כל ההוצאות'!$E:$E,'כל ההוצאות'!$B:$B,"Timeless",'כל ההוצאות'!$F:$F,"ינואר 2026")</f>
        <v/>
      </c>
      <c r="P27" s="37">
        <f>SUMIFS('כל ההוצאות'!$D:$D,'כל ההוצאות'!$B:$B,"Timeless",'כל ההוצאות'!$F:$F,"פברואר 2026")</f>
        <v/>
      </c>
      <c r="Q27" s="38">
        <f>SUMIFS('כל ההוצאות'!$E:$E,'כל ההוצאות'!$B:$B,"Timeless",'כל ההוצאות'!$F:$F,"פברואר 2026")</f>
        <v/>
      </c>
      <c r="R27" s="37">
        <f>SUMIFS('כל ההוצאות'!$D:$D,'כל ההוצאות'!$B:$B,"Timeless",'כל ההוצאות'!$F:$F,"מרץ 2026")</f>
        <v/>
      </c>
      <c r="S27" s="38">
        <f>SUMIFS('כל ההוצאות'!$E:$E,'כל ההוצאות'!$B:$B,"Timeless",'כל ההוצאות'!$F:$F,"מרץ 2026")</f>
        <v/>
      </c>
      <c r="T27" s="37">
        <f>SUMIFS('כל ההוצאות'!$D:$D,'כל ההוצאות'!$B:$B,"Timeless",'כל ההוצאות'!$F:$F,"אפריל 2026")</f>
        <v/>
      </c>
      <c r="U27" s="38">
        <f>SUMIFS('כל ההוצאות'!$E:$E,'כל ההוצאות'!$B:$B,"Timeless",'כל ההוצאות'!$F:$F,"אפריל 2026")</f>
        <v/>
      </c>
      <c r="V27" s="37">
        <f>SUMIFS('כל ההוצאות'!$D:$D,'כל ההוצאות'!$B:$B,"Timeless",'כל ההוצאות'!$F:$F,"מאי 2026")</f>
        <v/>
      </c>
      <c r="W27" s="38">
        <f>SUMIFS('כל ההוצאות'!$E:$E,'כל ההוצאות'!$B:$B,"Timeless",'כל ההוצאות'!$F:$F,"מאי 2026")</f>
        <v/>
      </c>
      <c r="X27" s="37">
        <f>SUMIFS('כל ההוצאות'!$D:$D,'כל ההוצאות'!$B:$B,"Timeless",'כל ההוצאות'!$F:$F,"יוני 2026")</f>
        <v/>
      </c>
      <c r="Y27" s="38">
        <f>SUMIFS('כל ההוצאות'!$E:$E,'כל ההוצאות'!$B:$B,"Timeless",'כל ההוצאות'!$F:$F,"יוני 2026")</f>
        <v/>
      </c>
      <c r="Z27" s="37">
        <f>SUMIFS('כל ההוצאות'!$D:$D,'כל ההוצאות'!$B:$B,"Timeless",'כל ההוצאות'!$F:$F,"יולי 2026")</f>
        <v/>
      </c>
      <c r="AA27" s="38">
        <f>SUMIFS('כל ההוצאות'!$E:$E,'כל ההוצאות'!$B:$B,"Timeless",'כל ההוצאות'!$F:$F,"יולי 2026")</f>
        <v/>
      </c>
      <c r="AB27" s="37">
        <f>SUMIFS('כל ההוצאות'!$D:$D,'כל ההוצאות'!$B:$B,"Timeless",'כל ההוצאות'!$F:$F,"אוגוסט 2026")</f>
        <v/>
      </c>
      <c r="AC27" s="38">
        <f>SUMIFS('כל ההוצאות'!$E:$E,'כל ההוצאות'!$B:$B,"Timeless",'כל ההוצאות'!$F:$F,"אוגוסט 2026")</f>
        <v/>
      </c>
      <c r="AD27" s="37">
        <f>SUMIFS('כל ההוצאות'!$D:$D,'כל ההוצאות'!$B:$B,"Timeless",'כל ההוצאות'!$F:$F,"ספטמבר 2026")</f>
        <v/>
      </c>
      <c r="AE27" s="38">
        <f>SUMIFS('כל ההוצאות'!$E:$E,'כל ההוצאות'!$B:$B,"Timeless",'כל ההוצאות'!$F:$F,"ספטמבר 2026")</f>
        <v/>
      </c>
      <c r="AF27" s="37">
        <f>SUMIFS('כל ההוצאות'!$D:$D,'כל ההוצאות'!$B:$B,"Timeless",'כל ההוצאות'!$F:$F,"אוקטובר 2026")</f>
        <v/>
      </c>
      <c r="AG27" s="38">
        <f>SUMIFS('כל ההוצאות'!$E:$E,'כל ההוצאות'!$B:$B,"Timeless",'כל ההוצאות'!$F:$F,"אוקטובר 2026")</f>
        <v/>
      </c>
      <c r="AH27" s="37">
        <f>SUMIFS('כל ההוצאות'!$D:$D,'כל ההוצאות'!$B:$B,"Timeless",'כל ההוצאות'!$F:$F,"נובמבר 2026")</f>
        <v/>
      </c>
      <c r="AI27" s="38">
        <f>SUMIFS('כל ההוצאות'!$E:$E,'כל ההוצאות'!$B:$B,"Timeless",'כל ההוצאות'!$F:$F,"נובמבר 2026")</f>
        <v/>
      </c>
      <c r="AJ27" s="37">
        <f>SUMIFS('כל ההוצאות'!$D:$D,'כל ההוצאות'!$B:$B,"Timeless",'כל ההוצאות'!$F:$F,"דצמבר 2026")</f>
        <v/>
      </c>
      <c r="AK27" s="38">
        <f>SUMIFS('כל ההוצאות'!$E:$E,'כל ההוצאות'!$B:$B,"Timeless",'כל ההוצאות'!$F:$F,"דצמבר 2026")</f>
        <v/>
      </c>
      <c r="AL27" s="39">
        <f>SUM(B27,D27,F27,H27,J27,L27,N27,P27,R27,T27,V27,X27,Z27,AB27,AD27,AF27,AH27,AJ27)</f>
        <v/>
      </c>
      <c r="AM27" s="40">
        <f>SUM(C27,E27,G27,I27,K27,M27,O27,Q27,S27,U27,W27,Y27,AA27,AC27,AE27,AG27,AI27,AK27)</f>
        <v/>
      </c>
    </row>
    <row r="28" ht="24" customHeight="1">
      <c r="A28" s="30" t="inlineStr">
        <is>
          <t>סה"כ חודשי</t>
        </is>
      </c>
      <c r="B28" s="20">
        <f>SUM(B5:B27)</f>
        <v/>
      </c>
      <c r="C28" s="21">
        <f>SUM(C5:C27)</f>
        <v/>
      </c>
      <c r="D28" s="20">
        <f>SUM(D5:D27)</f>
        <v/>
      </c>
      <c r="E28" s="21">
        <f>SUM(E5:E27)</f>
        <v/>
      </c>
      <c r="F28" s="20">
        <f>SUM(F5:F27)</f>
        <v/>
      </c>
      <c r="G28" s="21">
        <f>SUM(G5:G27)</f>
        <v/>
      </c>
      <c r="H28" s="20">
        <f>SUM(H5:H27)</f>
        <v/>
      </c>
      <c r="I28" s="21">
        <f>SUM(I5:I27)</f>
        <v/>
      </c>
      <c r="J28" s="20">
        <f>SUM(J5:J27)</f>
        <v/>
      </c>
      <c r="K28" s="21">
        <f>SUM(K5:K27)</f>
        <v/>
      </c>
      <c r="L28" s="20">
        <f>SUM(L5:L27)</f>
        <v/>
      </c>
      <c r="M28" s="21">
        <f>SUM(M5:M27)</f>
        <v/>
      </c>
      <c r="N28" s="20">
        <f>SUM(N5:N27)</f>
        <v/>
      </c>
      <c r="O28" s="21">
        <f>SUM(O5:O27)</f>
        <v/>
      </c>
      <c r="P28" s="20">
        <f>SUM(P5:P27)</f>
        <v/>
      </c>
      <c r="Q28" s="21">
        <f>SUM(Q5:Q27)</f>
        <v/>
      </c>
      <c r="R28" s="20">
        <f>SUM(R5:R27)</f>
        <v/>
      </c>
      <c r="S28" s="21">
        <f>SUM(S5:S27)</f>
        <v/>
      </c>
      <c r="T28" s="20">
        <f>SUM(T5:T27)</f>
        <v/>
      </c>
      <c r="U28" s="21">
        <f>SUM(U5:U27)</f>
        <v/>
      </c>
      <c r="V28" s="20">
        <f>SUM(V5:V27)</f>
        <v/>
      </c>
      <c r="W28" s="21">
        <f>SUM(W5:W27)</f>
        <v/>
      </c>
      <c r="X28" s="20">
        <f>SUM(X5:X27)</f>
        <v/>
      </c>
      <c r="Y28" s="21">
        <f>SUM(Y5:Y27)</f>
        <v/>
      </c>
      <c r="Z28" s="20">
        <f>SUM(Z5:Z27)</f>
        <v/>
      </c>
      <c r="AA28" s="21">
        <f>SUM(AA5:AA27)</f>
        <v/>
      </c>
      <c r="AB28" s="20">
        <f>SUM(AB5:AB27)</f>
        <v/>
      </c>
      <c r="AC28" s="21">
        <f>SUM(AC5:AC27)</f>
        <v/>
      </c>
      <c r="AD28" s="20">
        <f>SUM(AD5:AD27)</f>
        <v/>
      </c>
      <c r="AE28" s="21">
        <f>SUM(AE5:AE27)</f>
        <v/>
      </c>
      <c r="AF28" s="20">
        <f>SUM(AF5:AF27)</f>
        <v/>
      </c>
      <c r="AG28" s="21">
        <f>SUM(AG5:AG27)</f>
        <v/>
      </c>
      <c r="AH28" s="20">
        <f>SUM(AH5:AH27)</f>
        <v/>
      </c>
      <c r="AI28" s="21">
        <f>SUM(AI5:AI27)</f>
        <v/>
      </c>
      <c r="AJ28" s="20">
        <f>SUM(AJ5:AJ27)</f>
        <v/>
      </c>
      <c r="AK28" s="21">
        <f>SUM(AK5:AK27)</f>
        <v/>
      </c>
      <c r="AL28" s="44">
        <f>SUM(AL5:AL27)</f>
        <v/>
      </c>
      <c r="AM28" s="45">
        <f>SUM(AM5:AM27)</f>
        <v/>
      </c>
    </row>
  </sheetData>
  <mergeCells count="20">
    <mergeCell ref="AD3:AE3"/>
    <mergeCell ref="AF3:AG3"/>
    <mergeCell ref="AH3:AI3"/>
    <mergeCell ref="B3:C3"/>
    <mergeCell ref="F3:G3"/>
    <mergeCell ref="L3:M3"/>
    <mergeCell ref="N3:O3"/>
    <mergeCell ref="A1:AL1"/>
    <mergeCell ref="X3:Y3"/>
    <mergeCell ref="Z3:AA3"/>
    <mergeCell ref="AJ3:AK3"/>
    <mergeCell ref="R3:S3"/>
    <mergeCell ref="D3:E3"/>
    <mergeCell ref="H3:I3"/>
    <mergeCell ref="A2:AL2"/>
    <mergeCell ref="J3:K3"/>
    <mergeCell ref="P3:Q3"/>
    <mergeCell ref="T3:U3"/>
    <mergeCell ref="V3:W3"/>
    <mergeCell ref="AB3:AC3"/>
  </mergeCells>
  <hyperlinks>
    <hyperlink xmlns:r="http://schemas.openxmlformats.org/officeDocument/2006/relationships" ref="B3" r:id="rId1"/>
    <hyperlink xmlns:r="http://schemas.openxmlformats.org/officeDocument/2006/relationships" ref="D3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L3" r:id="rId6"/>
    <hyperlink xmlns:r="http://schemas.openxmlformats.org/officeDocument/2006/relationships" ref="N3" r:id="rId7"/>
    <hyperlink xmlns:r="http://schemas.openxmlformats.org/officeDocument/2006/relationships" ref="P3" r:id="rId8"/>
    <hyperlink xmlns:r="http://schemas.openxmlformats.org/officeDocument/2006/relationships" ref="R3" r:id="rId9"/>
    <hyperlink xmlns:r="http://schemas.openxmlformats.org/officeDocument/2006/relationships" ref="T3" r:id="rId10"/>
    <hyperlink xmlns:r="http://schemas.openxmlformats.org/officeDocument/2006/relationships" ref="V3" r:id="rId11"/>
    <hyperlink xmlns:r="http://schemas.openxmlformats.org/officeDocument/2006/relationships" ref="X3" r:id="rId12"/>
    <hyperlink xmlns:r="http://schemas.openxmlformats.org/officeDocument/2006/relationships" ref="Z3" r:id="rId13"/>
    <hyperlink xmlns:r="http://schemas.openxmlformats.org/officeDocument/2006/relationships" ref="AB3" r:id="rId14"/>
    <hyperlink xmlns:r="http://schemas.openxmlformats.org/officeDocument/2006/relationships" ref="AD3" r:id="rId15"/>
    <hyperlink xmlns:r="http://schemas.openxmlformats.org/officeDocument/2006/relationships" ref="AF3" r:id="rId16"/>
    <hyperlink xmlns:r="http://schemas.openxmlformats.org/officeDocument/2006/relationships" ref="AH3" r:id="rId17"/>
    <hyperlink xmlns:r="http://schemas.openxmlformats.org/officeDocument/2006/relationships" ref="AJ3" r:id="rId1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D7D31"/>
    <outlinePr summaryBelow="1" summaryRight="1"/>
    <pageSetUpPr/>
  </sheetPr>
  <dimension ref="A1:F24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4" customWidth="1" min="4" max="4"/>
    <col width="12" customWidth="1" min="5" max="5"/>
    <col width="22" customWidth="1" min="6" max="6"/>
  </cols>
  <sheetData>
    <row r="1" ht="35" customHeight="1">
      <c r="A1" s="1" t="inlineStr">
        <is>
          <t>דוח שנתי – AI &amp; Business Tools Expenses</t>
        </is>
      </c>
    </row>
    <row r="2" ht="20" customHeight="1">
      <c r="A2" s="46" t="inlineStr">
        <is>
          <t>סיכום הוצאות לפי חודש – יולי 2025 – דצמבר 2026</t>
        </is>
      </c>
    </row>
    <row r="3" ht="22" customHeight="1">
      <c r="A3" s="18" t="inlineStr">
        <is>
          <t>חודש</t>
        </is>
      </c>
      <c r="B3" s="18" t="inlineStr">
        <is>
          <t>תאריך</t>
        </is>
      </c>
      <c r="C3" s="18" t="inlineStr">
        <is>
          <t>הוצאה ($)</t>
        </is>
      </c>
      <c r="D3" s="18" t="inlineStr">
        <is>
          <t>הוצאה (₪)</t>
        </is>
      </c>
      <c r="E3" s="18" t="inlineStr">
        <is>
          <t>% מסה"כ</t>
        </is>
      </c>
      <c r="F3" s="18" t="inlineStr">
        <is>
          <t>הערות</t>
        </is>
      </c>
    </row>
    <row r="4" ht="20" customHeight="1">
      <c r="A4" s="47" t="inlineStr">
        <is>
          <t>יולי 2025</t>
        </is>
      </c>
      <c r="B4" s="15" t="inlineStr">
        <is>
          <t>July 2025</t>
        </is>
      </c>
      <c r="C4" s="48">
        <f>SUMIF('כל ההוצאות'!$F:$F,"יולי 2025",'כל ההוצאות'!$D:$D)</f>
        <v/>
      </c>
      <c r="D4" s="49">
        <f>SUMIF('כל ההוצאות'!$F:$F,"יולי 2025",'כל ההוצאות'!$E:$E)</f>
        <v/>
      </c>
      <c r="E4" s="50">
        <f>IF(C23&gt;0,C4/C23,0)</f>
        <v/>
      </c>
      <c r="F4" s="24" t="n"/>
    </row>
    <row r="5" ht="20" customHeight="1">
      <c r="A5" s="51" t="inlineStr">
        <is>
          <t>אוגוסט 2025</t>
        </is>
      </c>
      <c r="B5" s="11" t="inlineStr">
        <is>
          <t>August 2025</t>
        </is>
      </c>
      <c r="C5" s="52">
        <f>SUMIF('כל ההוצאות'!$F:$F,"אוגוסט 2025",'כל ההוצאות'!$D:$D)</f>
        <v/>
      </c>
      <c r="D5" s="53">
        <f>SUMIF('כל ההוצאות'!$F:$F,"אוגוסט 2025",'כל ההוצאות'!$E:$E)</f>
        <v/>
      </c>
      <c r="E5" s="54">
        <f>IF(C23&gt;0,C5/C23,0)</f>
        <v/>
      </c>
      <c r="F5" s="29" t="n"/>
    </row>
    <row r="6" ht="20" customHeight="1">
      <c r="A6" s="47" t="inlineStr">
        <is>
          <t>ספטמבר 2025</t>
        </is>
      </c>
      <c r="B6" s="15" t="inlineStr">
        <is>
          <t>September 2025</t>
        </is>
      </c>
      <c r="C6" s="48">
        <f>SUMIF('כל ההוצאות'!$F:$F,"ספטמבר 2025",'כל ההוצאות'!$D:$D)</f>
        <v/>
      </c>
      <c r="D6" s="49">
        <f>SUMIF('כל ההוצאות'!$F:$F,"ספטמבר 2025",'כל ההוצאות'!$E:$E)</f>
        <v/>
      </c>
      <c r="E6" s="50">
        <f>IF(C23&gt;0,C6/C23,0)</f>
        <v/>
      </c>
      <c r="F6" s="24" t="n"/>
    </row>
    <row r="7" ht="20" customHeight="1">
      <c r="A7" s="51" t="inlineStr">
        <is>
          <t>אוקטובר 2025</t>
        </is>
      </c>
      <c r="B7" s="11" t="inlineStr">
        <is>
          <t>October 2025</t>
        </is>
      </c>
      <c r="C7" s="52">
        <f>SUMIF('כל ההוצאות'!$F:$F,"אוקטובר 2025",'כל ההוצאות'!$D:$D)</f>
        <v/>
      </c>
      <c r="D7" s="53">
        <f>SUMIF('כל ההוצאות'!$F:$F,"אוקטובר 2025",'כל ההוצאות'!$E:$E)</f>
        <v/>
      </c>
      <c r="E7" s="54">
        <f>IF(C23&gt;0,C7/C23,0)</f>
        <v/>
      </c>
      <c r="F7" s="29" t="n"/>
    </row>
    <row r="8" ht="20" customHeight="1">
      <c r="A8" s="47" t="inlineStr">
        <is>
          <t>נובמבר 2025</t>
        </is>
      </c>
      <c r="B8" s="15" t="inlineStr">
        <is>
          <t>November 2025</t>
        </is>
      </c>
      <c r="C8" s="48">
        <f>SUMIF('כל ההוצאות'!$F:$F,"נובמבר 2025",'כל ההוצאות'!$D:$D)</f>
        <v/>
      </c>
      <c r="D8" s="49">
        <f>SUMIF('כל ההוצאות'!$F:$F,"נובמבר 2025",'כל ההוצאות'!$E:$E)</f>
        <v/>
      </c>
      <c r="E8" s="50">
        <f>IF(C23&gt;0,C8/C23,0)</f>
        <v/>
      </c>
      <c r="F8" s="24" t="n"/>
    </row>
    <row r="9" ht="20" customHeight="1">
      <c r="A9" s="51" t="inlineStr">
        <is>
          <t>דצמבר 2025</t>
        </is>
      </c>
      <c r="B9" s="11" t="inlineStr">
        <is>
          <t>December 2025</t>
        </is>
      </c>
      <c r="C9" s="52">
        <f>SUMIF('כל ההוצאות'!$F:$F,"דצמבר 2025",'כל ההוצאות'!$D:$D)</f>
        <v/>
      </c>
      <c r="D9" s="53">
        <f>SUMIF('כל ההוצאות'!$F:$F,"דצמבר 2025",'כל ההוצאות'!$E:$E)</f>
        <v/>
      </c>
      <c r="E9" s="54">
        <f>IF(C23&gt;0,C9/C23,0)</f>
        <v/>
      </c>
      <c r="F9" s="29" t="n"/>
    </row>
    <row r="10" ht="20" customHeight="1">
      <c r="A10" s="47" t="inlineStr">
        <is>
          <t>ינואר 2026</t>
        </is>
      </c>
      <c r="B10" s="15" t="inlineStr">
        <is>
          <t>January 2026</t>
        </is>
      </c>
      <c r="C10" s="48">
        <f>SUMIF('כל ההוצאות'!$F:$F,"ינואר 2026",'כל ההוצאות'!$D:$D)</f>
        <v/>
      </c>
      <c r="D10" s="49">
        <f>SUMIF('כל ההוצאות'!$F:$F,"ינואר 2026",'כל ההוצאות'!$E:$E)</f>
        <v/>
      </c>
      <c r="E10" s="50">
        <f>IF(C23&gt;0,C10/C23,0)</f>
        <v/>
      </c>
      <c r="F10" s="24" t="n"/>
    </row>
    <row r="11" ht="20" customHeight="1">
      <c r="A11" s="51" t="inlineStr">
        <is>
          <t>פברואר 2026</t>
        </is>
      </c>
      <c r="B11" s="11" t="inlineStr">
        <is>
          <t>February 2026</t>
        </is>
      </c>
      <c r="C11" s="52">
        <f>SUMIF('כל ההוצאות'!$F:$F,"פברואר 2026",'כל ההוצאות'!$D:$D)</f>
        <v/>
      </c>
      <c r="D11" s="53">
        <f>SUMIF('כל ההוצאות'!$F:$F,"פברואר 2026",'כל ההוצאות'!$E:$E)</f>
        <v/>
      </c>
      <c r="E11" s="54">
        <f>IF(C23&gt;0,C11/C23,0)</f>
        <v/>
      </c>
      <c r="F11" s="29" t="n"/>
    </row>
    <row r="12" ht="20" customHeight="1">
      <c r="A12" s="47" t="inlineStr">
        <is>
          <t>מרץ 2026</t>
        </is>
      </c>
      <c r="B12" s="15" t="inlineStr">
        <is>
          <t>March 2026</t>
        </is>
      </c>
      <c r="C12" s="48">
        <f>SUMIF('כל ההוצאות'!$F:$F,"מרץ 2026",'כל ההוצאות'!$D:$D)</f>
        <v/>
      </c>
      <c r="D12" s="49">
        <f>SUMIF('כל ההוצאות'!$F:$F,"מרץ 2026",'כל ההוצאות'!$E:$E)</f>
        <v/>
      </c>
      <c r="E12" s="50">
        <f>IF(C23&gt;0,C12/C23,0)</f>
        <v/>
      </c>
      <c r="F12" s="24" t="n"/>
    </row>
    <row r="13" ht="20" customHeight="1">
      <c r="A13" s="51" t="inlineStr">
        <is>
          <t>אפריל 2026</t>
        </is>
      </c>
      <c r="B13" s="11" t="inlineStr">
        <is>
          <t>April 2026</t>
        </is>
      </c>
      <c r="C13" s="52">
        <f>SUMIF('כל ההוצאות'!$F:$F,"אפריל 2026",'כל ההוצאות'!$D:$D)</f>
        <v/>
      </c>
      <c r="D13" s="53">
        <f>SUMIF('כל ההוצאות'!$F:$F,"אפריל 2026",'כל ההוצאות'!$E:$E)</f>
        <v/>
      </c>
      <c r="E13" s="54">
        <f>IF(C23&gt;0,C13/C23,0)</f>
        <v/>
      </c>
      <c r="F13" s="29" t="n"/>
    </row>
    <row r="14" ht="20" customHeight="1">
      <c r="A14" s="47" t="inlineStr">
        <is>
          <t>מאי 2026</t>
        </is>
      </c>
      <c r="B14" s="15" t="inlineStr">
        <is>
          <t>May 2026</t>
        </is>
      </c>
      <c r="C14" s="48">
        <f>SUMIF('כל ההוצאות'!$F:$F,"מאי 2026",'כל ההוצאות'!$D:$D)</f>
        <v/>
      </c>
      <c r="D14" s="49">
        <f>SUMIF('כל ההוצאות'!$F:$F,"מאי 2026",'כל ההוצאות'!$E:$E)</f>
        <v/>
      </c>
      <c r="E14" s="50">
        <f>IF(C23&gt;0,C14/C23,0)</f>
        <v/>
      </c>
      <c r="F14" s="24" t="n"/>
    </row>
    <row r="15" ht="20" customHeight="1">
      <c r="A15" s="51" t="inlineStr">
        <is>
          <t>יוני 2026</t>
        </is>
      </c>
      <c r="B15" s="11" t="inlineStr">
        <is>
          <t>June 2026</t>
        </is>
      </c>
      <c r="C15" s="52">
        <f>SUMIF('כל ההוצאות'!$F:$F,"יוני 2026",'כל ההוצאות'!$D:$D)</f>
        <v/>
      </c>
      <c r="D15" s="53">
        <f>SUMIF('כל ההוצאות'!$F:$F,"יוני 2026",'כל ההוצאות'!$E:$E)</f>
        <v/>
      </c>
      <c r="E15" s="54">
        <f>IF(C23&gt;0,C15/C23,0)</f>
        <v/>
      </c>
      <c r="F15" s="29" t="n"/>
    </row>
    <row r="16" ht="20" customHeight="1">
      <c r="A16" s="47" t="inlineStr">
        <is>
          <t>יולי 2026</t>
        </is>
      </c>
      <c r="B16" s="15" t="inlineStr">
        <is>
          <t>July 2026</t>
        </is>
      </c>
      <c r="C16" s="48">
        <f>SUMIF('כל ההוצאות'!$F:$F,"יולי 2026",'כל ההוצאות'!$D:$D)</f>
        <v/>
      </c>
      <c r="D16" s="49">
        <f>SUMIF('כל ההוצאות'!$F:$F,"יולי 2026",'כל ההוצאות'!$E:$E)</f>
        <v/>
      </c>
      <c r="E16" s="50">
        <f>IF(C23&gt;0,C16/C23,0)</f>
        <v/>
      </c>
      <c r="F16" s="24" t="n"/>
    </row>
    <row r="17" ht="20" customHeight="1">
      <c r="A17" s="51" t="inlineStr">
        <is>
          <t>אוגוסט 2026</t>
        </is>
      </c>
      <c r="B17" s="11" t="inlineStr">
        <is>
          <t>August 2026</t>
        </is>
      </c>
      <c r="C17" s="52">
        <f>SUMIF('כל ההוצאות'!$F:$F,"אוגוסט 2026",'כל ההוצאות'!$D:$D)</f>
        <v/>
      </c>
      <c r="D17" s="53">
        <f>SUMIF('כל ההוצאות'!$F:$F,"אוגוסט 2026",'כל ההוצאות'!$E:$E)</f>
        <v/>
      </c>
      <c r="E17" s="54">
        <f>IF(C23&gt;0,C17/C23,0)</f>
        <v/>
      </c>
      <c r="F17" s="29" t="n"/>
    </row>
    <row r="18" ht="20" customHeight="1">
      <c r="A18" s="47" t="inlineStr">
        <is>
          <t>ספטמבר 2026</t>
        </is>
      </c>
      <c r="B18" s="15" t="inlineStr">
        <is>
          <t>September 2026</t>
        </is>
      </c>
      <c r="C18" s="48">
        <f>SUMIF('כל ההוצאות'!$F:$F,"ספטמבר 2026",'כל ההוצאות'!$D:$D)</f>
        <v/>
      </c>
      <c r="D18" s="49">
        <f>SUMIF('כל ההוצאות'!$F:$F,"ספטמבר 2026",'כל ההוצאות'!$E:$E)</f>
        <v/>
      </c>
      <c r="E18" s="50">
        <f>IF(C23&gt;0,C18/C23,0)</f>
        <v/>
      </c>
      <c r="F18" s="24" t="n"/>
    </row>
    <row r="19" ht="20" customHeight="1">
      <c r="A19" s="51" t="inlineStr">
        <is>
          <t>אוקטובר 2026</t>
        </is>
      </c>
      <c r="B19" s="11" t="inlineStr">
        <is>
          <t>October 2026</t>
        </is>
      </c>
      <c r="C19" s="52">
        <f>SUMIF('כל ההוצאות'!$F:$F,"אוקטובר 2026",'כל ההוצאות'!$D:$D)</f>
        <v/>
      </c>
      <c r="D19" s="53">
        <f>SUMIF('כל ההוצאות'!$F:$F,"אוקטובר 2026",'כל ההוצאות'!$E:$E)</f>
        <v/>
      </c>
      <c r="E19" s="54">
        <f>IF(C23&gt;0,C19/C23,0)</f>
        <v/>
      </c>
      <c r="F19" s="29" t="n"/>
    </row>
    <row r="20" ht="20" customHeight="1">
      <c r="A20" s="47" t="inlineStr">
        <is>
          <t>נובמבר 2026</t>
        </is>
      </c>
      <c r="B20" s="15" t="inlineStr">
        <is>
          <t>November 2026</t>
        </is>
      </c>
      <c r="C20" s="48">
        <f>SUMIF('כל ההוצאות'!$F:$F,"נובמבר 2026",'כל ההוצאות'!$D:$D)</f>
        <v/>
      </c>
      <c r="D20" s="49">
        <f>SUMIF('כל ההוצאות'!$F:$F,"נובמבר 2026",'כל ההוצאות'!$E:$E)</f>
        <v/>
      </c>
      <c r="E20" s="50">
        <f>IF(C23&gt;0,C20/C23,0)</f>
        <v/>
      </c>
      <c r="F20" s="24" t="n"/>
    </row>
    <row r="21" ht="20" customHeight="1">
      <c r="A21" s="51" t="inlineStr">
        <is>
          <t>דצמבר 2026</t>
        </is>
      </c>
      <c r="B21" s="11" t="inlineStr">
        <is>
          <t>December 2026</t>
        </is>
      </c>
      <c r="C21" s="52">
        <f>SUMIF('כל ההוצאות'!$F:$F,"דצמבר 2026",'כל ההוצאות'!$D:$D)</f>
        <v/>
      </c>
      <c r="D21" s="53">
        <f>SUMIF('כל ההוצאות'!$F:$F,"דצמבר 2026",'כל ההוצאות'!$E:$E)</f>
        <v/>
      </c>
      <c r="E21" s="54">
        <f>IF(C23&gt;0,C21/C23,0)</f>
        <v/>
      </c>
      <c r="F21" s="29" t="n"/>
    </row>
    <row r="22">
      <c r="A22" s="24" t="n"/>
      <c r="B22" s="24" t="n"/>
      <c r="C22" s="24" t="n"/>
      <c r="D22" s="24" t="n"/>
      <c r="E22" s="24" t="n"/>
      <c r="F22" s="24" t="n"/>
    </row>
    <row r="23" ht="28" customHeight="1">
      <c r="A23" s="55" t="inlineStr">
        <is>
          <t>סה"כ שנתי</t>
        </is>
      </c>
      <c r="B23" s="31" t="n"/>
      <c r="C23" s="56">
        <f>SUM(C4:C21)</f>
        <v/>
      </c>
      <c r="D23" s="57">
        <f>SUM(D4:D21)</f>
        <v/>
      </c>
      <c r="E23" s="58" t="inlineStr">
        <is>
          <t>100%</t>
        </is>
      </c>
      <c r="F23" s="31" t="n"/>
    </row>
    <row r="24">
      <c r="A24" s="59" t="inlineStr">
        <is>
          <t>ממוצע חודשי</t>
        </is>
      </c>
      <c r="B24" s="24" t="n"/>
      <c r="C24" s="60">
        <f>AVERAGE(C4:C21)</f>
        <v/>
      </c>
      <c r="D24" s="61">
        <f>AVERAGE(D4:D21)</f>
        <v/>
      </c>
      <c r="E24" s="24" t="n"/>
      <c r="F24" s="24" t="n"/>
    </row>
  </sheetData>
  <mergeCells count="4">
    <mergeCell ref="A2:F2"/>
    <mergeCell ref="A24:B24"/>
    <mergeCell ref="A1:F1"/>
    <mergeCell ref="A23:B23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</hyperlinks>
  <pageMargins left="0.75" right="0.75" top="1" bottom="1" header="0.5" footer="0.5"/>
  <drawing xmlns:r="http://schemas.openxmlformats.org/officeDocument/2006/relationships" r:id="rId1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2026-05-05T09:53:20Z</dcterms:created>
  <dcterms:modified xsi:type="dcterms:W3CDTF">2026-05-05T09:53:21Z</dcterms:modified>
</cp:coreProperties>
</file>