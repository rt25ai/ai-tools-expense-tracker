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(לעדכון ידני)</t>
        </is>
      </c>
      <c r="B4" s="4" t="n">
        <v>3.65</v>
      </c>
      <c r="C4" s="5" t="inlineStr">
        <is>
          <t>← ניתן לעדכן שיעור זה בכל עת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>
        <f>D3*הגדרות!$B$4</f>
        <v/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>
        <f>D4*הגדרות!$B$4</f>
        <v/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>
        <f>D5*הגדרות!$B$4</f>
        <v/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>
        <f>D6*הגדרות!$B$4</f>
        <v/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>
        <f>D7*הגדרות!$B$4</f>
        <v/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>
        <f>D8*הגדרות!$B$4</f>
        <v/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>
        <f>D9*הגדרות!$B$4</f>
        <v/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>
        <f>D10*הגדרות!$B$4</f>
        <v/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>
        <f>D11*הגדרות!$B$4</f>
        <v/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>
        <f>D12*הגדרות!$B$4</f>
        <v/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>
        <f>D13*הגדרות!$B$4</f>
        <v/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>
        <f>D14*הגדרות!$B$4</f>
        <v/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>
        <f>D15*הגדרות!$B$4</f>
        <v/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>
        <f>D16*הגדרות!$B$4</f>
        <v/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>
        <f>D17*הגדרות!$B$4</f>
        <v/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>
        <f>D18*הגדרות!$B$4</f>
        <v/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>
        <f>D19*הגדרות!$B$4</f>
        <v/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>
        <f>D20*הגדרות!$B$4</f>
        <v/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>
        <f>D21*הגדרות!$B$4</f>
        <v/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>
        <f>D22*הגדרות!$B$4</f>
        <v/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>
        <f>D23*הגדרות!$B$4</f>
        <v/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>
        <f>D24*הגדרות!$B$4</f>
        <v/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>
        <f>D25*הגדרות!$B$4</f>
        <v/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>
        <f>D26*הגדרות!$B$4</f>
        <v/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>
        <f>D27*הגדרות!$B$4</f>
        <v/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>
        <f>D28*הגדרות!$B$4</f>
        <v/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>
        <f>D29*הגדרות!$B$4</f>
        <v/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>
        <f>D30*הגדרות!$B$4</f>
        <v/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>
        <f>D31*הגדרות!$B$4</f>
        <v/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>
        <f>D32*הגדרות!$B$4</f>
        <v/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>
        <f>D33*הגדרות!$B$4</f>
        <v/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>
        <f>D34*הגדרות!$B$4</f>
        <v/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>
        <f>D35*הגדרות!$B$4</f>
        <v/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>
        <f>D36*הגדרות!$B$4</f>
        <v/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>
        <f>D37*הגדרות!$B$4</f>
        <v/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>
        <f>D38*הגדרות!$B$4</f>
        <v/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>
        <f>D39*הגדרות!$B$4</f>
        <v/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>
        <f>D40*הגדרות!$B$4</f>
        <v/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>
        <f>D41*הגדרות!$B$4</f>
        <v/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>
        <f>D42*הגדרות!$B$4</f>
        <v/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>
        <f>D43*הגדרות!$B$4</f>
        <v/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>
        <f>D44*הגדרות!$B$4</f>
        <v/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>
        <f>D45*הגדרות!$B$4</f>
        <v/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>
        <f>D46*הגדרות!$B$4</f>
        <v/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>
        <f>D47*הגדרות!$B$4</f>
        <v/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>
        <f>D48*הגדרות!$B$4</f>
        <v/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>
        <f>D49*הגדרות!$B$4</f>
        <v/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>
        <f>D50*הגדרות!$B$4</f>
        <v/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>
        <f>D51*הגדרות!$B$4</f>
        <v/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>
        <f>D52*הגדרות!$B$4</f>
        <v/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>
        <f>D53*הגדרות!$B$4</f>
        <v/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>
        <f>D54*הגדרות!$B$4</f>
        <v/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>
        <f>D55*הגדרות!$B$4</f>
        <v/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>
        <f>D56*הגדרות!$B$4</f>
        <v/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>
        <f>D57*הגדרות!$B$4</f>
        <v/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>
        <f>D58*הגדרות!$B$4</f>
        <v/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>
        <f>D59*הגדרות!$B$4</f>
        <v/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>
        <f>D60*הגדרות!$B$4</f>
        <v/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>
        <f>D61*הגדרות!$B$4</f>
        <v/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>
        <f>D62*הגדרות!$B$4</f>
        <v/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>
        <f>D63*הגדרות!$B$4</f>
        <v/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>
        <f>D64*הגדרות!$B$4</f>
        <v/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>
        <f>D65*הגדרות!$B$4</f>
        <v/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>
        <f>D66*הגדרות!$B$4</f>
        <v/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>
        <f>D67*הגדרות!$B$4</f>
        <v/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>
        <f>D68*הגדרות!$B$4</f>
        <v/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>
        <f>D69*הגדרות!$B$4</f>
        <v/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>
        <f>D70*הגדרות!$B$4</f>
        <v/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>
        <f>D71*הגדרות!$B$4</f>
        <v/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>
        <f>D72*הגדרות!$B$4</f>
        <v/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>
        <f>D73*הגדרות!$B$4</f>
        <v/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>
        <f>D74*הגדרות!$B$4</f>
        <v/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>
        <f>D75*הגדרות!$B$4</f>
        <v/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>
        <f>D76*הגדרות!$B$4</f>
        <v/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>
        <f>D77*הגדרות!$B$4</f>
        <v/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>
        <f>D78*הגדרות!$B$4</f>
        <v/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>
        <f>D79*הגדרות!$B$4</f>
        <v/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>
        <f>D80*הגדרות!$B$4</f>
        <v/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>
        <f>D81*הגדרות!$B$4</f>
        <v/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>
        <f>D82*הגדרות!$B$4</f>
        <v/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>
        <f>D83*הגדרות!$B$4</f>
        <v/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>
        <f>D84*הגדרות!$B$4</f>
        <v/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>
        <f>D85*הגדרות!$B$4</f>
        <v/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>
        <f>D86*הגדרות!$B$4</f>
        <v/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>
        <f>D87*הגדרות!$B$4</f>
        <v/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>
        <f>D88*הגדרות!$B$4</f>
        <v/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>
        <f>D89*הגדרות!$B$4</f>
        <v/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>
        <f>D90*הגדרות!$B$4</f>
        <v/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>
        <f>D91*הגדרות!$B$4</f>
        <v/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>
        <f>D92*הגדרות!$B$4</f>
        <v/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>
        <f>D93*הגדרות!$B$4</f>
        <v/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>
        <f>D94*הגדרות!$B$4</f>
        <v/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>
        <f>D95*הגדרות!$B$4</f>
        <v/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>
        <f>D96*הגדרות!$B$4</f>
        <v/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>
        <f>D97*הגדרות!$B$4</f>
        <v/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>
        <f>D98*הגדרות!$B$4</f>
        <v/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>
        <f>D4*הגדרות!$B$4</f>
        <v/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>
        <f>D5*הגדרות!$B$4</f>
        <v/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>
        <f>D9*הגדרות!$B$4</f>
        <v/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>
        <f>D10*הגדרות!$B$4</f>
        <v/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>
        <f>D6*הגדרות!$B$4</f>
        <v/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>
        <f>D7*הגדרות!$B$4</f>
        <v/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>
        <f>D8*הגדרות!$B$4</f>
        <v/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>
        <f>D9*הגדרות!$B$4</f>
        <v/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>
        <f>D10*הגדרות!$B$4</f>
        <v/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>
        <f>D12*הגדרות!$B$4</f>
        <v/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>
        <f>D13*הגדרות!$B$4</f>
        <v/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>
        <f>D5*הגדרות!$B$4</f>
        <v/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>
        <f>D9*הגדרות!$B$4</f>
        <v/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>
        <f>D5*הגדרות!$B$4</f>
        <v/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>
        <f>D6*הגדרות!$B$4</f>
        <v/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>
        <f>D7*הגדרות!$B$4</f>
        <v/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>
        <f>D4*הגדרות!$B$4</f>
        <v/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>
        <f>D5*הגדרות!$B$4</f>
        <v/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>
        <f>D6*הגדרות!$B$4</f>
        <v/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>
        <f>D7*הגדרות!$B$4</f>
        <v/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>
        <f>D8*הגדרות!$B$4</f>
        <v/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>
        <f>D10*הגדרות!$B$4</f>
        <v/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>
        <f>D5*הגדרות!$B$4</f>
        <v/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>
        <f>D7*הגדרות!$B$4</f>
        <v/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>
        <f>D10*הגדרות!$B$4</f>
        <v/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>
        <f>D12*הגדרות!$B$4</f>
        <v/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>
        <f>D13*הגדרות!$B$4</f>
        <v/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>
        <f>D14*הגדרות!$B$4</f>
        <v/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>
        <f>D4*הגדרות!$B$4</f>
        <v/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>
        <f>D5*הגדרות!$B$4</f>
        <v/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>
        <f>D6*הגדרות!$B$4</f>
        <v/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>
        <f>D7*הגדרות!$B$4</f>
        <v/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>
        <f>D8*הגדרות!$B$4</f>
        <v/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>
        <f>D10*הגדרות!$B$4</f>
        <v/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>
        <f>D13*הגדרות!$B$4</f>
        <v/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>
        <f>D14*הגדרות!$B$4</f>
        <v/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>
        <f>D4*הגדרות!$B$4</f>
        <v/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>
        <f>D5*הגדרות!$B$4</f>
        <v/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>
        <f>D8*הגדרות!$B$4</f>
        <v/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>
        <f>D9*הגדרות!$B$4</f>
        <v/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>
        <f>D10*הגדרות!$B$4</f>
        <v/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>
        <f>D13*הגדרות!$B$4</f>
        <v/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>
        <f>D14*הגדרות!$B$4</f>
        <v/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>
        <f>D15*הגדרות!$B$4</f>
        <v/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>
        <f>D4*הגדרות!$B$4</f>
        <v/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>
        <f>D5*הגדרות!$B$4</f>
        <v/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>
        <f>D7*הגדרות!$B$4</f>
        <v/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>
        <f>D8*הגדרות!$B$4</f>
        <v/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IF(B5&gt;0,B5*הגדרות!$B$4,"")</f>
        <v/>
      </c>
      <c r="D5" s="37">
        <f>SUMIFS('כל ההוצאות'!$D:$D,'כל ההוצאות'!$B:$B,"Anthropic",'כל ההוצאות'!$F:$F,"אוגוסט 2025")</f>
        <v/>
      </c>
      <c r="E5" s="38">
        <f>IF(D5&gt;0,D5*הגדרות!$B$4,"")</f>
        <v/>
      </c>
      <c r="F5" s="37">
        <f>SUMIFS('כל ההוצאות'!$D:$D,'כל ההוצאות'!$B:$B,"Anthropic",'כל ההוצאות'!$F:$F,"ספטמבר 2025")</f>
        <v/>
      </c>
      <c r="G5" s="38">
        <f>IF(F5&gt;0,F5*הגדרות!$B$4,"")</f>
        <v/>
      </c>
      <c r="H5" s="37">
        <f>SUMIFS('כל ההוצאות'!$D:$D,'כל ההוצאות'!$B:$B,"Anthropic",'כל ההוצאות'!$F:$F,"אוקטובר 2025")</f>
        <v/>
      </c>
      <c r="I5" s="38">
        <f>IF(H5&gt;0,H5*הגדרות!$B$4,"")</f>
        <v/>
      </c>
      <c r="J5" s="37">
        <f>SUMIFS('כל ההוצאות'!$D:$D,'כל ההוצאות'!$B:$B,"Anthropic",'כל ההוצאות'!$F:$F,"נובמבר 2025")</f>
        <v/>
      </c>
      <c r="K5" s="38">
        <f>IF(J5&gt;0,J5*הגדרות!$B$4,"")</f>
        <v/>
      </c>
      <c r="L5" s="37">
        <f>SUMIFS('כל ההוצאות'!$D:$D,'כל ההוצאות'!$B:$B,"Anthropic",'כל ההוצאות'!$F:$F,"דצמבר 2025")</f>
        <v/>
      </c>
      <c r="M5" s="38">
        <f>IF(L5&gt;0,L5*הגדרות!$B$4,"")</f>
        <v/>
      </c>
      <c r="N5" s="37">
        <f>SUMIFS('כל ההוצאות'!$D:$D,'כל ההוצאות'!$B:$B,"Anthropic",'כל ההוצאות'!$F:$F,"ינואר 2026")</f>
        <v/>
      </c>
      <c r="O5" s="38">
        <f>IF(N5&gt;0,N5*הגדרות!$B$4,"")</f>
        <v/>
      </c>
      <c r="P5" s="37">
        <f>SUMIFS('כל ההוצאות'!$D:$D,'כל ההוצאות'!$B:$B,"Anthropic",'כל ההוצאות'!$F:$F,"פברואר 2026")</f>
        <v/>
      </c>
      <c r="Q5" s="38">
        <f>IF(P5&gt;0,P5*הגדרות!$B$4,"")</f>
        <v/>
      </c>
      <c r="R5" s="37">
        <f>SUMIFS('כל ההוצאות'!$D:$D,'כל ההוצאות'!$B:$B,"Anthropic",'כל ההוצאות'!$F:$F,"מרץ 2026")</f>
        <v/>
      </c>
      <c r="S5" s="38">
        <f>IF(R5&gt;0,R5*הגדרות!$B$4,"")</f>
        <v/>
      </c>
      <c r="T5" s="37">
        <f>SUMIFS('כל ההוצאות'!$D:$D,'כל ההוצאות'!$B:$B,"Anthropic",'כל ההוצאות'!$F:$F,"אפריל 2026")</f>
        <v/>
      </c>
      <c r="U5" s="38">
        <f>IF(T5&gt;0,T5*הגדרות!$B$4,"")</f>
        <v/>
      </c>
      <c r="V5" s="37">
        <f>SUMIFS('כל ההוצאות'!$D:$D,'כל ההוצאות'!$B:$B,"Anthropic",'כל ההוצאות'!$F:$F,"מאי 2026")</f>
        <v/>
      </c>
      <c r="W5" s="38">
        <f>IF(V5&gt;0,V5*הגדרות!$B$4,"")</f>
        <v/>
      </c>
      <c r="X5" s="37">
        <f>SUMIFS('כל ההוצאות'!$D:$D,'כל ההוצאות'!$B:$B,"Anthropic",'כל ההוצאות'!$F:$F,"יוני 2026")</f>
        <v/>
      </c>
      <c r="Y5" s="38">
        <f>IF(X5&gt;0,X5*הגדרות!$B$4,"")</f>
        <v/>
      </c>
      <c r="Z5" s="37">
        <f>SUMIFS('כל ההוצאות'!$D:$D,'כל ההוצאות'!$B:$B,"Anthropic",'כל ההוצאות'!$F:$F,"יולי 2026")</f>
        <v/>
      </c>
      <c r="AA5" s="38">
        <f>IF(Z5&gt;0,Z5*הגדרות!$B$4,"")</f>
        <v/>
      </c>
      <c r="AB5" s="37">
        <f>SUMIFS('כל ההוצאות'!$D:$D,'כל ההוצאות'!$B:$B,"Anthropic",'כל ההוצאות'!$F:$F,"אוגוסט 2026")</f>
        <v/>
      </c>
      <c r="AC5" s="38">
        <f>IF(AB5&gt;0,AB5*הגדרות!$B$4,"")</f>
        <v/>
      </c>
      <c r="AD5" s="37">
        <f>SUMIFS('כל ההוצאות'!$D:$D,'כל ההוצאות'!$B:$B,"Anthropic",'כל ההוצאות'!$F:$F,"ספטמבר 2026")</f>
        <v/>
      </c>
      <c r="AE5" s="38">
        <f>IF(AD5&gt;0,AD5*הגדרות!$B$4,"")</f>
        <v/>
      </c>
      <c r="AF5" s="37">
        <f>SUMIFS('כל ההוצאות'!$D:$D,'כל ההוצאות'!$B:$B,"Anthropic",'כל ההוצאות'!$F:$F,"אוקטובר 2026")</f>
        <v/>
      </c>
      <c r="AG5" s="38">
        <f>IF(AF5&gt;0,AF5*הגדרות!$B$4,"")</f>
        <v/>
      </c>
      <c r="AH5" s="37">
        <f>SUMIFS('כל ההוצאות'!$D:$D,'כל ההוצאות'!$B:$B,"Anthropic",'כל ההוצאות'!$F:$F,"נובמבר 2026")</f>
        <v/>
      </c>
      <c r="AI5" s="38">
        <f>IF(AH5&gt;0,AH5*הגדרות!$B$4,"")</f>
        <v/>
      </c>
      <c r="AJ5" s="37">
        <f>SUMIFS('כל ההוצאות'!$D:$D,'כל ההוצאות'!$B:$B,"Anthropic",'כל ההוצאות'!$F:$F,"דצמבר 2026")</f>
        <v/>
      </c>
      <c r="AK5" s="38">
        <f>IF(AJ5&gt;0,AJ5*הגדרות!$B$4,"")</f>
        <v/>
      </c>
      <c r="AL5" s="39">
        <f>SUM(B5,D5,F5,H5,J5,L5,N5,P5,R5,T5,V5,X5,Z5,AB5,AD5,AF5,AH5,AJ5)</f>
        <v/>
      </c>
      <c r="AM5" s="40">
        <f>IF(AL5&gt;0,AL5*הגדרות!$B$4,"")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IF(B6&gt;0,B6*הגדרות!$B$4,"")</f>
        <v/>
      </c>
      <c r="D6" s="42">
        <f>SUMIFS('כל ההוצאות'!$D:$D,'כל ההוצאות'!$B:$B,"Astria",'כל ההוצאות'!$F:$F,"אוגוסט 2025")</f>
        <v/>
      </c>
      <c r="E6" s="43">
        <f>IF(D6&gt;0,D6*הגדרות!$B$4,"")</f>
        <v/>
      </c>
      <c r="F6" s="42">
        <f>SUMIFS('כל ההוצאות'!$D:$D,'כל ההוצאות'!$B:$B,"Astria",'כל ההוצאות'!$F:$F,"ספטמבר 2025")</f>
        <v/>
      </c>
      <c r="G6" s="43">
        <f>IF(F6&gt;0,F6*הגדרות!$B$4,"")</f>
        <v/>
      </c>
      <c r="H6" s="42">
        <f>SUMIFS('כל ההוצאות'!$D:$D,'כל ההוצאות'!$B:$B,"Astria",'כל ההוצאות'!$F:$F,"אוקטובר 2025")</f>
        <v/>
      </c>
      <c r="I6" s="43">
        <f>IF(H6&gt;0,H6*הגדרות!$B$4,"")</f>
        <v/>
      </c>
      <c r="J6" s="42">
        <f>SUMIFS('כל ההוצאות'!$D:$D,'כל ההוצאות'!$B:$B,"Astria",'כל ההוצאות'!$F:$F,"נובמבר 2025")</f>
        <v/>
      </c>
      <c r="K6" s="43">
        <f>IF(J6&gt;0,J6*הגדרות!$B$4,"")</f>
        <v/>
      </c>
      <c r="L6" s="42">
        <f>SUMIFS('כל ההוצאות'!$D:$D,'כל ההוצאות'!$B:$B,"Astria",'כל ההוצאות'!$F:$F,"דצמבר 2025")</f>
        <v/>
      </c>
      <c r="M6" s="43">
        <f>IF(L6&gt;0,L6*הגדרות!$B$4,"")</f>
        <v/>
      </c>
      <c r="N6" s="42">
        <f>SUMIFS('כל ההוצאות'!$D:$D,'כל ההוצאות'!$B:$B,"Astria",'כל ההוצאות'!$F:$F,"ינואר 2026")</f>
        <v/>
      </c>
      <c r="O6" s="43">
        <f>IF(N6&gt;0,N6*הגדרות!$B$4,"")</f>
        <v/>
      </c>
      <c r="P6" s="42">
        <f>SUMIFS('כל ההוצאות'!$D:$D,'כל ההוצאות'!$B:$B,"Astria",'כל ההוצאות'!$F:$F,"פברואר 2026")</f>
        <v/>
      </c>
      <c r="Q6" s="43">
        <f>IF(P6&gt;0,P6*הגדרות!$B$4,"")</f>
        <v/>
      </c>
      <c r="R6" s="42">
        <f>SUMIFS('כל ההוצאות'!$D:$D,'כל ההוצאות'!$B:$B,"Astria",'כל ההוצאות'!$F:$F,"מרץ 2026")</f>
        <v/>
      </c>
      <c r="S6" s="43">
        <f>IF(R6&gt;0,R6*הגדרות!$B$4,"")</f>
        <v/>
      </c>
      <c r="T6" s="42">
        <f>SUMIFS('כל ההוצאות'!$D:$D,'כל ההוצאות'!$B:$B,"Astria",'כל ההוצאות'!$F:$F,"אפריל 2026")</f>
        <v/>
      </c>
      <c r="U6" s="43">
        <f>IF(T6&gt;0,T6*הגדרות!$B$4,"")</f>
        <v/>
      </c>
      <c r="V6" s="42">
        <f>SUMIFS('כל ההוצאות'!$D:$D,'כל ההוצאות'!$B:$B,"Astria",'כל ההוצאות'!$F:$F,"מאי 2026")</f>
        <v/>
      </c>
      <c r="W6" s="43">
        <f>IF(V6&gt;0,V6*הגדרות!$B$4,"")</f>
        <v/>
      </c>
      <c r="X6" s="42">
        <f>SUMIFS('כל ההוצאות'!$D:$D,'כל ההוצאות'!$B:$B,"Astria",'כל ההוצאות'!$F:$F,"יוני 2026")</f>
        <v/>
      </c>
      <c r="Y6" s="43">
        <f>IF(X6&gt;0,X6*הגדרות!$B$4,"")</f>
        <v/>
      </c>
      <c r="Z6" s="42">
        <f>SUMIFS('כל ההוצאות'!$D:$D,'כל ההוצאות'!$B:$B,"Astria",'כל ההוצאות'!$F:$F,"יולי 2026")</f>
        <v/>
      </c>
      <c r="AA6" s="43">
        <f>IF(Z6&gt;0,Z6*הגדרות!$B$4,"")</f>
        <v/>
      </c>
      <c r="AB6" s="42">
        <f>SUMIFS('כל ההוצאות'!$D:$D,'כל ההוצאות'!$B:$B,"Astria",'כל ההוצאות'!$F:$F,"אוגוסט 2026")</f>
        <v/>
      </c>
      <c r="AC6" s="43">
        <f>IF(AB6&gt;0,AB6*הגדרות!$B$4,"")</f>
        <v/>
      </c>
      <c r="AD6" s="42">
        <f>SUMIFS('כל ההוצאות'!$D:$D,'כל ההוצאות'!$B:$B,"Astria",'כל ההוצאות'!$F:$F,"ספטמבר 2026")</f>
        <v/>
      </c>
      <c r="AE6" s="43">
        <f>IF(AD6&gt;0,AD6*הגדרות!$B$4,"")</f>
        <v/>
      </c>
      <c r="AF6" s="42">
        <f>SUMIFS('כל ההוצאות'!$D:$D,'כל ההוצאות'!$B:$B,"Astria",'כל ההוצאות'!$F:$F,"אוקטובר 2026")</f>
        <v/>
      </c>
      <c r="AG6" s="43">
        <f>IF(AF6&gt;0,AF6*הגדרות!$B$4,"")</f>
        <v/>
      </c>
      <c r="AH6" s="42">
        <f>SUMIFS('כל ההוצאות'!$D:$D,'כל ההוצאות'!$B:$B,"Astria",'כל ההוצאות'!$F:$F,"נובמבר 2026")</f>
        <v/>
      </c>
      <c r="AI6" s="43">
        <f>IF(AH6&gt;0,AH6*הגדרות!$B$4,"")</f>
        <v/>
      </c>
      <c r="AJ6" s="42">
        <f>SUMIFS('כל ההוצאות'!$D:$D,'כל ההוצאות'!$B:$B,"Astria",'כל ההוצאות'!$F:$F,"דצמבר 2026")</f>
        <v/>
      </c>
      <c r="AK6" s="43">
        <f>IF(AJ6&gt;0,AJ6*הגדרות!$B$4,"")</f>
        <v/>
      </c>
      <c r="AL6" s="39">
        <f>SUM(B6,D6,F6,H6,J6,L6,N6,P6,R6,T6,V6,X6,Z6,AB6,AD6,AF6,AH6,AJ6)</f>
        <v/>
      </c>
      <c r="AM6" s="40">
        <f>IF(AL6&gt;0,AL6*הגדרות!$B$4,"")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IF(B7&gt;0,B7*הגדרות!$B$4,"")</f>
        <v/>
      </c>
      <c r="D7" s="37">
        <f>SUMIFS('כל ההוצאות'!$D:$D,'כל ההוצאות'!$B:$B,"CapCut",'כל ההוצאות'!$F:$F,"אוגוסט 2025")</f>
        <v/>
      </c>
      <c r="E7" s="38">
        <f>IF(D7&gt;0,D7*הגדרות!$B$4,"")</f>
        <v/>
      </c>
      <c r="F7" s="37">
        <f>SUMIFS('כל ההוצאות'!$D:$D,'כל ההוצאות'!$B:$B,"CapCut",'כל ההוצאות'!$F:$F,"ספטמבר 2025")</f>
        <v/>
      </c>
      <c r="G7" s="38">
        <f>IF(F7&gt;0,F7*הגדרות!$B$4,"")</f>
        <v/>
      </c>
      <c r="H7" s="37">
        <f>SUMIFS('כל ההוצאות'!$D:$D,'כל ההוצאות'!$B:$B,"CapCut",'כל ההוצאות'!$F:$F,"אוקטובר 2025")</f>
        <v/>
      </c>
      <c r="I7" s="38">
        <f>IF(H7&gt;0,H7*הגדרות!$B$4,"")</f>
        <v/>
      </c>
      <c r="J7" s="37">
        <f>SUMIFS('כל ההוצאות'!$D:$D,'כל ההוצאות'!$B:$B,"CapCut",'כל ההוצאות'!$F:$F,"נובמבר 2025")</f>
        <v/>
      </c>
      <c r="K7" s="38">
        <f>IF(J7&gt;0,J7*הגדרות!$B$4,"")</f>
        <v/>
      </c>
      <c r="L7" s="37">
        <f>SUMIFS('כל ההוצאות'!$D:$D,'כל ההוצאות'!$B:$B,"CapCut",'כל ההוצאות'!$F:$F,"דצמבר 2025")</f>
        <v/>
      </c>
      <c r="M7" s="38">
        <f>IF(L7&gt;0,L7*הגדרות!$B$4,"")</f>
        <v/>
      </c>
      <c r="N7" s="37">
        <f>SUMIFS('כל ההוצאות'!$D:$D,'כל ההוצאות'!$B:$B,"CapCut",'כל ההוצאות'!$F:$F,"ינואר 2026")</f>
        <v/>
      </c>
      <c r="O7" s="38">
        <f>IF(N7&gt;0,N7*הגדרות!$B$4,"")</f>
        <v/>
      </c>
      <c r="P7" s="37">
        <f>SUMIFS('כל ההוצאות'!$D:$D,'כל ההוצאות'!$B:$B,"CapCut",'כל ההוצאות'!$F:$F,"פברואר 2026")</f>
        <v/>
      </c>
      <c r="Q7" s="38">
        <f>IF(P7&gt;0,P7*הגדרות!$B$4,"")</f>
        <v/>
      </c>
      <c r="R7" s="37">
        <f>SUMIFS('כל ההוצאות'!$D:$D,'כל ההוצאות'!$B:$B,"CapCut",'כל ההוצאות'!$F:$F,"מרץ 2026")</f>
        <v/>
      </c>
      <c r="S7" s="38">
        <f>IF(R7&gt;0,R7*הגדרות!$B$4,"")</f>
        <v/>
      </c>
      <c r="T7" s="37">
        <f>SUMIFS('כל ההוצאות'!$D:$D,'כל ההוצאות'!$B:$B,"CapCut",'כל ההוצאות'!$F:$F,"אפריל 2026")</f>
        <v/>
      </c>
      <c r="U7" s="38">
        <f>IF(T7&gt;0,T7*הגדרות!$B$4,"")</f>
        <v/>
      </c>
      <c r="V7" s="37">
        <f>SUMIFS('כל ההוצאות'!$D:$D,'כל ההוצאות'!$B:$B,"CapCut",'כל ההוצאות'!$F:$F,"מאי 2026")</f>
        <v/>
      </c>
      <c r="W7" s="38">
        <f>IF(V7&gt;0,V7*הגדרות!$B$4,"")</f>
        <v/>
      </c>
      <c r="X7" s="37">
        <f>SUMIFS('כל ההוצאות'!$D:$D,'כל ההוצאות'!$B:$B,"CapCut",'כל ההוצאות'!$F:$F,"יוני 2026")</f>
        <v/>
      </c>
      <c r="Y7" s="38">
        <f>IF(X7&gt;0,X7*הגדרות!$B$4,"")</f>
        <v/>
      </c>
      <c r="Z7" s="37">
        <f>SUMIFS('כל ההוצאות'!$D:$D,'כל ההוצאות'!$B:$B,"CapCut",'כל ההוצאות'!$F:$F,"יולי 2026")</f>
        <v/>
      </c>
      <c r="AA7" s="38">
        <f>IF(Z7&gt;0,Z7*הגדרות!$B$4,"")</f>
        <v/>
      </c>
      <c r="AB7" s="37">
        <f>SUMIFS('כל ההוצאות'!$D:$D,'כל ההוצאות'!$B:$B,"CapCut",'כל ההוצאות'!$F:$F,"אוגוסט 2026")</f>
        <v/>
      </c>
      <c r="AC7" s="38">
        <f>IF(AB7&gt;0,AB7*הגדרות!$B$4,"")</f>
        <v/>
      </c>
      <c r="AD7" s="37">
        <f>SUMIFS('כל ההוצאות'!$D:$D,'כל ההוצאות'!$B:$B,"CapCut",'כל ההוצאות'!$F:$F,"ספטמבר 2026")</f>
        <v/>
      </c>
      <c r="AE7" s="38">
        <f>IF(AD7&gt;0,AD7*הגדרות!$B$4,"")</f>
        <v/>
      </c>
      <c r="AF7" s="37">
        <f>SUMIFS('כל ההוצאות'!$D:$D,'כל ההוצאות'!$B:$B,"CapCut",'כל ההוצאות'!$F:$F,"אוקטובר 2026")</f>
        <v/>
      </c>
      <c r="AG7" s="38">
        <f>IF(AF7&gt;0,AF7*הגדרות!$B$4,"")</f>
        <v/>
      </c>
      <c r="AH7" s="37">
        <f>SUMIFS('כל ההוצאות'!$D:$D,'כל ההוצאות'!$B:$B,"CapCut",'כל ההוצאות'!$F:$F,"נובמבר 2026")</f>
        <v/>
      </c>
      <c r="AI7" s="38">
        <f>IF(AH7&gt;0,AH7*הגדרות!$B$4,"")</f>
        <v/>
      </c>
      <c r="AJ7" s="37">
        <f>SUMIFS('כל ההוצאות'!$D:$D,'כל ההוצאות'!$B:$B,"CapCut",'כל ההוצאות'!$F:$F,"דצמבר 2026")</f>
        <v/>
      </c>
      <c r="AK7" s="38">
        <f>IF(AJ7&gt;0,AJ7*הגדרות!$B$4,"")</f>
        <v/>
      </c>
      <c r="AL7" s="39">
        <f>SUM(B7,D7,F7,H7,J7,L7,N7,P7,R7,T7,V7,X7,Z7,AB7,AD7,AF7,AH7,AJ7)</f>
        <v/>
      </c>
      <c r="AM7" s="40">
        <f>IF(AL7&gt;0,AL7*הגדרות!$B$4,"")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IF(B8&gt;0,B8*הגדרות!$B$4,"")</f>
        <v/>
      </c>
      <c r="D8" s="42">
        <f>SUMIFS('כל ההוצאות'!$D:$D,'כל ההוצאות'!$B:$B,"Eleven Labs",'כל ההוצאות'!$F:$F,"אוגוסט 2025")</f>
        <v/>
      </c>
      <c r="E8" s="43">
        <f>IF(D8&gt;0,D8*הגדרות!$B$4,"")</f>
        <v/>
      </c>
      <c r="F8" s="42">
        <f>SUMIFS('כל ההוצאות'!$D:$D,'כל ההוצאות'!$B:$B,"Eleven Labs",'כל ההוצאות'!$F:$F,"ספטמבר 2025")</f>
        <v/>
      </c>
      <c r="G8" s="43">
        <f>IF(F8&gt;0,F8*הגדרות!$B$4,"")</f>
        <v/>
      </c>
      <c r="H8" s="42">
        <f>SUMIFS('כל ההוצאות'!$D:$D,'כל ההוצאות'!$B:$B,"Eleven Labs",'כל ההוצאות'!$F:$F,"אוקטובר 2025")</f>
        <v/>
      </c>
      <c r="I8" s="43">
        <f>IF(H8&gt;0,H8*הגדרות!$B$4,"")</f>
        <v/>
      </c>
      <c r="J8" s="42">
        <f>SUMIFS('כל ההוצאות'!$D:$D,'כל ההוצאות'!$B:$B,"Eleven Labs",'כל ההוצאות'!$F:$F,"נובמבר 2025")</f>
        <v/>
      </c>
      <c r="K8" s="43">
        <f>IF(J8&gt;0,J8*הגדרות!$B$4,"")</f>
        <v/>
      </c>
      <c r="L8" s="42">
        <f>SUMIFS('כל ההוצאות'!$D:$D,'כל ההוצאות'!$B:$B,"Eleven Labs",'כל ההוצאות'!$F:$F,"דצמבר 2025")</f>
        <v/>
      </c>
      <c r="M8" s="43">
        <f>IF(L8&gt;0,L8*הגדרות!$B$4,"")</f>
        <v/>
      </c>
      <c r="N8" s="42">
        <f>SUMIFS('כל ההוצאות'!$D:$D,'כל ההוצאות'!$B:$B,"Eleven Labs",'כל ההוצאות'!$F:$F,"ינואר 2026")</f>
        <v/>
      </c>
      <c r="O8" s="43">
        <f>IF(N8&gt;0,N8*הגדרות!$B$4,"")</f>
        <v/>
      </c>
      <c r="P8" s="42">
        <f>SUMIFS('כל ההוצאות'!$D:$D,'כל ההוצאות'!$B:$B,"Eleven Labs",'כל ההוצאות'!$F:$F,"פברואר 2026")</f>
        <v/>
      </c>
      <c r="Q8" s="43">
        <f>IF(P8&gt;0,P8*הגדרות!$B$4,"")</f>
        <v/>
      </c>
      <c r="R8" s="42">
        <f>SUMIFS('כל ההוצאות'!$D:$D,'כל ההוצאות'!$B:$B,"Eleven Labs",'כל ההוצאות'!$F:$F,"מרץ 2026")</f>
        <v/>
      </c>
      <c r="S8" s="43">
        <f>IF(R8&gt;0,R8*הגדרות!$B$4,"")</f>
        <v/>
      </c>
      <c r="T8" s="42">
        <f>SUMIFS('כל ההוצאות'!$D:$D,'כל ההוצאות'!$B:$B,"Eleven Labs",'כל ההוצאות'!$F:$F,"אפריל 2026")</f>
        <v/>
      </c>
      <c r="U8" s="43">
        <f>IF(T8&gt;0,T8*הגדרות!$B$4,"")</f>
        <v/>
      </c>
      <c r="V8" s="42">
        <f>SUMIFS('כל ההוצאות'!$D:$D,'כל ההוצאות'!$B:$B,"Eleven Labs",'כל ההוצאות'!$F:$F,"מאי 2026")</f>
        <v/>
      </c>
      <c r="W8" s="43">
        <f>IF(V8&gt;0,V8*הגדרות!$B$4,"")</f>
        <v/>
      </c>
      <c r="X8" s="42">
        <f>SUMIFS('כל ההוצאות'!$D:$D,'כל ההוצאות'!$B:$B,"Eleven Labs",'כל ההוצאות'!$F:$F,"יוני 2026")</f>
        <v/>
      </c>
      <c r="Y8" s="43">
        <f>IF(X8&gt;0,X8*הגדרות!$B$4,"")</f>
        <v/>
      </c>
      <c r="Z8" s="42">
        <f>SUMIFS('כל ההוצאות'!$D:$D,'כל ההוצאות'!$B:$B,"Eleven Labs",'כל ההוצאות'!$F:$F,"יולי 2026")</f>
        <v/>
      </c>
      <c r="AA8" s="43">
        <f>IF(Z8&gt;0,Z8*הגדרות!$B$4,"")</f>
        <v/>
      </c>
      <c r="AB8" s="42">
        <f>SUMIFS('כל ההוצאות'!$D:$D,'כל ההוצאות'!$B:$B,"Eleven Labs",'כל ההוצאות'!$F:$F,"אוגוסט 2026")</f>
        <v/>
      </c>
      <c r="AC8" s="43">
        <f>IF(AB8&gt;0,AB8*הגדרות!$B$4,"")</f>
        <v/>
      </c>
      <c r="AD8" s="42">
        <f>SUMIFS('כל ההוצאות'!$D:$D,'כל ההוצאות'!$B:$B,"Eleven Labs",'כל ההוצאות'!$F:$F,"ספטמבר 2026")</f>
        <v/>
      </c>
      <c r="AE8" s="43">
        <f>IF(AD8&gt;0,AD8*הגדרות!$B$4,"")</f>
        <v/>
      </c>
      <c r="AF8" s="42">
        <f>SUMIFS('כל ההוצאות'!$D:$D,'כל ההוצאות'!$B:$B,"Eleven Labs",'כל ההוצאות'!$F:$F,"אוקטובר 2026")</f>
        <v/>
      </c>
      <c r="AG8" s="43">
        <f>IF(AF8&gt;0,AF8*הגדרות!$B$4,"")</f>
        <v/>
      </c>
      <c r="AH8" s="42">
        <f>SUMIFS('כל ההוצאות'!$D:$D,'כל ההוצאות'!$B:$B,"Eleven Labs",'כל ההוצאות'!$F:$F,"נובמבר 2026")</f>
        <v/>
      </c>
      <c r="AI8" s="43">
        <f>IF(AH8&gt;0,AH8*הגדרות!$B$4,"")</f>
        <v/>
      </c>
      <c r="AJ8" s="42">
        <f>SUMIFS('כל ההוצאות'!$D:$D,'כל ההוצאות'!$B:$B,"Eleven Labs",'כל ההוצאות'!$F:$F,"דצמבר 2026")</f>
        <v/>
      </c>
      <c r="AK8" s="43">
        <f>IF(AJ8&gt;0,AJ8*הגדרות!$B$4,"")</f>
        <v/>
      </c>
      <c r="AL8" s="39">
        <f>SUM(B8,D8,F8,H8,J8,L8,N8,P8,R8,T8,V8,X8,Z8,AB8,AD8,AF8,AH8,AJ8)</f>
        <v/>
      </c>
      <c r="AM8" s="40">
        <f>IF(AL8&gt;0,AL8*הגדרות!$B$4,"")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IF(B9&gt;0,B9*הגדרות!$B$4,"")</f>
        <v/>
      </c>
      <c r="D9" s="37">
        <f>SUMIFS('כל ההוצאות'!$D:$D,'כל ההוצאות'!$B:$B,"Genspark",'כל ההוצאות'!$F:$F,"אוגוסט 2025")</f>
        <v/>
      </c>
      <c r="E9" s="38">
        <f>IF(D9&gt;0,D9*הגדרות!$B$4,"")</f>
        <v/>
      </c>
      <c r="F9" s="37">
        <f>SUMIFS('כל ההוצאות'!$D:$D,'כל ההוצאות'!$B:$B,"Genspark",'כל ההוצאות'!$F:$F,"ספטמבר 2025")</f>
        <v/>
      </c>
      <c r="G9" s="38">
        <f>IF(F9&gt;0,F9*הגדרות!$B$4,"")</f>
        <v/>
      </c>
      <c r="H9" s="37">
        <f>SUMIFS('כל ההוצאות'!$D:$D,'כל ההוצאות'!$B:$B,"Genspark",'כל ההוצאות'!$F:$F,"אוקטובר 2025")</f>
        <v/>
      </c>
      <c r="I9" s="38">
        <f>IF(H9&gt;0,H9*הגדרות!$B$4,"")</f>
        <v/>
      </c>
      <c r="J9" s="37">
        <f>SUMIFS('כל ההוצאות'!$D:$D,'כל ההוצאות'!$B:$B,"Genspark",'כל ההוצאות'!$F:$F,"נובמבר 2025")</f>
        <v/>
      </c>
      <c r="K9" s="38">
        <f>IF(J9&gt;0,J9*הגדרות!$B$4,"")</f>
        <v/>
      </c>
      <c r="L9" s="37">
        <f>SUMIFS('כל ההוצאות'!$D:$D,'כל ההוצאות'!$B:$B,"Genspark",'כל ההוצאות'!$F:$F,"דצמבר 2025")</f>
        <v/>
      </c>
      <c r="M9" s="38">
        <f>IF(L9&gt;0,L9*הגדרות!$B$4,"")</f>
        <v/>
      </c>
      <c r="N9" s="37">
        <f>SUMIFS('כל ההוצאות'!$D:$D,'כל ההוצאות'!$B:$B,"Genspark",'כל ההוצאות'!$F:$F,"ינואר 2026")</f>
        <v/>
      </c>
      <c r="O9" s="38">
        <f>IF(N9&gt;0,N9*הגדרות!$B$4,"")</f>
        <v/>
      </c>
      <c r="P9" s="37">
        <f>SUMIFS('כל ההוצאות'!$D:$D,'כל ההוצאות'!$B:$B,"Genspark",'כל ההוצאות'!$F:$F,"פברואר 2026")</f>
        <v/>
      </c>
      <c r="Q9" s="38">
        <f>IF(P9&gt;0,P9*הגדרות!$B$4,"")</f>
        <v/>
      </c>
      <c r="R9" s="37">
        <f>SUMIFS('כל ההוצאות'!$D:$D,'כל ההוצאות'!$B:$B,"Genspark",'כל ההוצאות'!$F:$F,"מרץ 2026")</f>
        <v/>
      </c>
      <c r="S9" s="38">
        <f>IF(R9&gt;0,R9*הגדרות!$B$4,"")</f>
        <v/>
      </c>
      <c r="T9" s="37">
        <f>SUMIFS('כל ההוצאות'!$D:$D,'כל ההוצאות'!$B:$B,"Genspark",'כל ההוצאות'!$F:$F,"אפריל 2026")</f>
        <v/>
      </c>
      <c r="U9" s="38">
        <f>IF(T9&gt;0,T9*הגדרות!$B$4,"")</f>
        <v/>
      </c>
      <c r="V9" s="37">
        <f>SUMIFS('כל ההוצאות'!$D:$D,'כל ההוצאות'!$B:$B,"Genspark",'כל ההוצאות'!$F:$F,"מאי 2026")</f>
        <v/>
      </c>
      <c r="W9" s="38">
        <f>IF(V9&gt;0,V9*הגדרות!$B$4,"")</f>
        <v/>
      </c>
      <c r="X9" s="37">
        <f>SUMIFS('כל ההוצאות'!$D:$D,'כל ההוצאות'!$B:$B,"Genspark",'כל ההוצאות'!$F:$F,"יוני 2026")</f>
        <v/>
      </c>
      <c r="Y9" s="38">
        <f>IF(X9&gt;0,X9*הגדרות!$B$4,"")</f>
        <v/>
      </c>
      <c r="Z9" s="37">
        <f>SUMIFS('כל ההוצאות'!$D:$D,'כל ההוצאות'!$B:$B,"Genspark",'כל ההוצאות'!$F:$F,"יולי 2026")</f>
        <v/>
      </c>
      <c r="AA9" s="38">
        <f>IF(Z9&gt;0,Z9*הגדרות!$B$4,"")</f>
        <v/>
      </c>
      <c r="AB9" s="37">
        <f>SUMIFS('כל ההוצאות'!$D:$D,'כל ההוצאות'!$B:$B,"Genspark",'כל ההוצאות'!$F:$F,"אוגוסט 2026")</f>
        <v/>
      </c>
      <c r="AC9" s="38">
        <f>IF(AB9&gt;0,AB9*הגדרות!$B$4,"")</f>
        <v/>
      </c>
      <c r="AD9" s="37">
        <f>SUMIFS('כל ההוצאות'!$D:$D,'כל ההוצאות'!$B:$B,"Genspark",'כל ההוצאות'!$F:$F,"ספטמבר 2026")</f>
        <v/>
      </c>
      <c r="AE9" s="38">
        <f>IF(AD9&gt;0,AD9*הגדרות!$B$4,"")</f>
        <v/>
      </c>
      <c r="AF9" s="37">
        <f>SUMIFS('כל ההוצאות'!$D:$D,'כל ההוצאות'!$B:$B,"Genspark",'כל ההוצאות'!$F:$F,"אוקטובר 2026")</f>
        <v/>
      </c>
      <c r="AG9" s="38">
        <f>IF(AF9&gt;0,AF9*הגדרות!$B$4,"")</f>
        <v/>
      </c>
      <c r="AH9" s="37">
        <f>SUMIFS('כל ההוצאות'!$D:$D,'כל ההוצאות'!$B:$B,"Genspark",'כל ההוצאות'!$F:$F,"נובמבר 2026")</f>
        <v/>
      </c>
      <c r="AI9" s="38">
        <f>IF(AH9&gt;0,AH9*הגדרות!$B$4,"")</f>
        <v/>
      </c>
      <c r="AJ9" s="37">
        <f>SUMIFS('כל ההוצאות'!$D:$D,'כל ההוצאות'!$B:$B,"Genspark",'כל ההוצאות'!$F:$F,"דצמבר 2026")</f>
        <v/>
      </c>
      <c r="AK9" s="38">
        <f>IF(AJ9&gt;0,AJ9*הגדרות!$B$4,"")</f>
        <v/>
      </c>
      <c r="AL9" s="39">
        <f>SUM(B9,D9,F9,H9,J9,L9,N9,P9,R9,T9,V9,X9,Z9,AB9,AD9,AF9,AH9,AJ9)</f>
        <v/>
      </c>
      <c r="AM9" s="40">
        <f>IF(AL9&gt;0,AL9*הגדרות!$B$4,"")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IF(B10&gt;0,B10*הגדרות!$B$4,"")</f>
        <v/>
      </c>
      <c r="D10" s="42">
        <f>SUMIFS('כל ההוצאות'!$D:$D,'כל ההוצאות'!$B:$B,"Google Workspace",'כל ההוצאות'!$F:$F,"אוגוסט 2025")</f>
        <v/>
      </c>
      <c r="E10" s="43">
        <f>IF(D10&gt;0,D10*הגדרות!$B$4,"")</f>
        <v/>
      </c>
      <c r="F10" s="42">
        <f>SUMIFS('כל ההוצאות'!$D:$D,'כל ההוצאות'!$B:$B,"Google Workspace",'כל ההוצאות'!$F:$F,"ספטמבר 2025")</f>
        <v/>
      </c>
      <c r="G10" s="43">
        <f>IF(F10&gt;0,F10*הגדרות!$B$4,"")</f>
        <v/>
      </c>
      <c r="H10" s="42">
        <f>SUMIFS('כל ההוצאות'!$D:$D,'כל ההוצאות'!$B:$B,"Google Workspace",'כל ההוצאות'!$F:$F,"אוקטובר 2025")</f>
        <v/>
      </c>
      <c r="I10" s="43">
        <f>IF(H10&gt;0,H10*הגדרות!$B$4,"")</f>
        <v/>
      </c>
      <c r="J10" s="42">
        <f>SUMIFS('כל ההוצאות'!$D:$D,'כל ההוצאות'!$B:$B,"Google Workspace",'כל ההוצאות'!$F:$F,"נובמבר 2025")</f>
        <v/>
      </c>
      <c r="K10" s="43">
        <f>IF(J10&gt;0,J10*הגדרות!$B$4,"")</f>
        <v/>
      </c>
      <c r="L10" s="42">
        <f>SUMIFS('כל ההוצאות'!$D:$D,'כל ההוצאות'!$B:$B,"Google Workspace",'כל ההוצאות'!$F:$F,"דצמבר 2025")</f>
        <v/>
      </c>
      <c r="M10" s="43">
        <f>IF(L10&gt;0,L10*הגדרות!$B$4,"")</f>
        <v/>
      </c>
      <c r="N10" s="42">
        <f>SUMIFS('כל ההוצאות'!$D:$D,'כל ההוצאות'!$B:$B,"Google Workspace",'כל ההוצאות'!$F:$F,"ינואר 2026")</f>
        <v/>
      </c>
      <c r="O10" s="43">
        <f>IF(N10&gt;0,N10*הגדרות!$B$4,"")</f>
        <v/>
      </c>
      <c r="P10" s="42">
        <f>SUMIFS('כל ההוצאות'!$D:$D,'כל ההוצאות'!$B:$B,"Google Workspace",'כל ההוצאות'!$F:$F,"פברואר 2026")</f>
        <v/>
      </c>
      <c r="Q10" s="43">
        <f>IF(P10&gt;0,P10*הגדרות!$B$4,"")</f>
        <v/>
      </c>
      <c r="R10" s="42">
        <f>SUMIFS('כל ההוצאות'!$D:$D,'כל ההוצאות'!$B:$B,"Google Workspace",'כל ההוצאות'!$F:$F,"מרץ 2026")</f>
        <v/>
      </c>
      <c r="S10" s="43">
        <f>IF(R10&gt;0,R10*הגדרות!$B$4,"")</f>
        <v/>
      </c>
      <c r="T10" s="42">
        <f>SUMIFS('כל ההוצאות'!$D:$D,'כל ההוצאות'!$B:$B,"Google Workspace",'כל ההוצאות'!$F:$F,"אפריל 2026")</f>
        <v/>
      </c>
      <c r="U10" s="43">
        <f>IF(T10&gt;0,T10*הגדרות!$B$4,"")</f>
        <v/>
      </c>
      <c r="V10" s="42">
        <f>SUMIFS('כל ההוצאות'!$D:$D,'כל ההוצאות'!$B:$B,"Google Workspace",'כל ההוצאות'!$F:$F,"מאי 2026")</f>
        <v/>
      </c>
      <c r="W10" s="43">
        <f>IF(V10&gt;0,V10*הגדרות!$B$4,"")</f>
        <v/>
      </c>
      <c r="X10" s="42">
        <f>SUMIFS('כל ההוצאות'!$D:$D,'כל ההוצאות'!$B:$B,"Google Workspace",'כל ההוצאות'!$F:$F,"יוני 2026")</f>
        <v/>
      </c>
      <c r="Y10" s="43">
        <f>IF(X10&gt;0,X10*הגדרות!$B$4,"")</f>
        <v/>
      </c>
      <c r="Z10" s="42">
        <f>SUMIFS('כל ההוצאות'!$D:$D,'כל ההוצאות'!$B:$B,"Google Workspace",'כל ההוצאות'!$F:$F,"יולי 2026")</f>
        <v/>
      </c>
      <c r="AA10" s="43">
        <f>IF(Z10&gt;0,Z10*הגדרות!$B$4,"")</f>
        <v/>
      </c>
      <c r="AB10" s="42">
        <f>SUMIFS('כל ההוצאות'!$D:$D,'כל ההוצאות'!$B:$B,"Google Workspace",'כל ההוצאות'!$F:$F,"אוגוסט 2026")</f>
        <v/>
      </c>
      <c r="AC10" s="43">
        <f>IF(AB10&gt;0,AB10*הגדרות!$B$4,"")</f>
        <v/>
      </c>
      <c r="AD10" s="42">
        <f>SUMIFS('כל ההוצאות'!$D:$D,'כל ההוצאות'!$B:$B,"Google Workspace",'כל ההוצאות'!$F:$F,"ספטמבר 2026")</f>
        <v/>
      </c>
      <c r="AE10" s="43">
        <f>IF(AD10&gt;0,AD10*הגדרות!$B$4,"")</f>
        <v/>
      </c>
      <c r="AF10" s="42">
        <f>SUMIFS('כל ההוצאות'!$D:$D,'כל ההוצאות'!$B:$B,"Google Workspace",'כל ההוצאות'!$F:$F,"אוקטובר 2026")</f>
        <v/>
      </c>
      <c r="AG10" s="43">
        <f>IF(AF10&gt;0,AF10*הגדרות!$B$4,"")</f>
        <v/>
      </c>
      <c r="AH10" s="42">
        <f>SUMIFS('כל ההוצאות'!$D:$D,'כל ההוצאות'!$B:$B,"Google Workspace",'כל ההוצאות'!$F:$F,"נובמבר 2026")</f>
        <v/>
      </c>
      <c r="AI10" s="43">
        <f>IF(AH10&gt;0,AH10*הגדרות!$B$4,"")</f>
        <v/>
      </c>
      <c r="AJ10" s="42">
        <f>SUMIFS('כל ההוצאות'!$D:$D,'כל ההוצאות'!$B:$B,"Google Workspace",'כל ההוצאות'!$F:$F,"דצמבר 2026")</f>
        <v/>
      </c>
      <c r="AK10" s="43">
        <f>IF(AJ10&gt;0,AJ10*הגדרות!$B$4,"")</f>
        <v/>
      </c>
      <c r="AL10" s="39">
        <f>SUM(B10,D10,F10,H10,J10,L10,N10,P10,R10,T10,V10,X10,Z10,AB10,AD10,AF10,AH10,AJ10)</f>
        <v/>
      </c>
      <c r="AM10" s="40">
        <f>IF(AL10&gt;0,AL10*הגדרות!$B$4,"")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IF(B11&gt;0,B11*הגדרות!$B$4,"")</f>
        <v/>
      </c>
      <c r="D11" s="37">
        <f>SUMIFS('כל ההוצאות'!$D:$D,'כל ההוצאות'!$B:$B,"Hedra",'כל ההוצאות'!$F:$F,"אוגוסט 2025")</f>
        <v/>
      </c>
      <c r="E11" s="38">
        <f>IF(D11&gt;0,D11*הגדרות!$B$4,"")</f>
        <v/>
      </c>
      <c r="F11" s="37">
        <f>SUMIFS('כל ההוצאות'!$D:$D,'כל ההוצאות'!$B:$B,"Hedra",'כל ההוצאות'!$F:$F,"ספטמבר 2025")</f>
        <v/>
      </c>
      <c r="G11" s="38">
        <f>IF(F11&gt;0,F11*הגדרות!$B$4,"")</f>
        <v/>
      </c>
      <c r="H11" s="37">
        <f>SUMIFS('כל ההוצאות'!$D:$D,'כל ההוצאות'!$B:$B,"Hedra",'כל ההוצאות'!$F:$F,"אוקטובר 2025")</f>
        <v/>
      </c>
      <c r="I11" s="38">
        <f>IF(H11&gt;0,H11*הגדרות!$B$4,"")</f>
        <v/>
      </c>
      <c r="J11" s="37">
        <f>SUMIFS('כל ההוצאות'!$D:$D,'כל ההוצאות'!$B:$B,"Hedra",'כל ההוצאות'!$F:$F,"נובמבר 2025")</f>
        <v/>
      </c>
      <c r="K11" s="38">
        <f>IF(J11&gt;0,J11*הגדרות!$B$4,"")</f>
        <v/>
      </c>
      <c r="L11" s="37">
        <f>SUMIFS('כל ההוצאות'!$D:$D,'כל ההוצאות'!$B:$B,"Hedra",'כל ההוצאות'!$F:$F,"דצמבר 2025")</f>
        <v/>
      </c>
      <c r="M11" s="38">
        <f>IF(L11&gt;0,L11*הגדרות!$B$4,"")</f>
        <v/>
      </c>
      <c r="N11" s="37">
        <f>SUMIFS('כל ההוצאות'!$D:$D,'כל ההוצאות'!$B:$B,"Hedra",'כל ההוצאות'!$F:$F,"ינואר 2026")</f>
        <v/>
      </c>
      <c r="O11" s="38">
        <f>IF(N11&gt;0,N11*הגדרות!$B$4,"")</f>
        <v/>
      </c>
      <c r="P11" s="37">
        <f>SUMIFS('כל ההוצאות'!$D:$D,'כל ההוצאות'!$B:$B,"Hedra",'כל ההוצאות'!$F:$F,"פברואר 2026")</f>
        <v/>
      </c>
      <c r="Q11" s="38">
        <f>IF(P11&gt;0,P11*הגדרות!$B$4,"")</f>
        <v/>
      </c>
      <c r="R11" s="37">
        <f>SUMIFS('כל ההוצאות'!$D:$D,'כל ההוצאות'!$B:$B,"Hedra",'כל ההוצאות'!$F:$F,"מרץ 2026")</f>
        <v/>
      </c>
      <c r="S11" s="38">
        <f>IF(R11&gt;0,R11*הגדרות!$B$4,"")</f>
        <v/>
      </c>
      <c r="T11" s="37">
        <f>SUMIFS('כל ההוצאות'!$D:$D,'כל ההוצאות'!$B:$B,"Hedra",'כל ההוצאות'!$F:$F,"אפריל 2026")</f>
        <v/>
      </c>
      <c r="U11" s="38">
        <f>IF(T11&gt;0,T11*הגדרות!$B$4,"")</f>
        <v/>
      </c>
      <c r="V11" s="37">
        <f>SUMIFS('כל ההוצאות'!$D:$D,'כל ההוצאות'!$B:$B,"Hedra",'כל ההוצאות'!$F:$F,"מאי 2026")</f>
        <v/>
      </c>
      <c r="W11" s="38">
        <f>IF(V11&gt;0,V11*הגדרות!$B$4,"")</f>
        <v/>
      </c>
      <c r="X11" s="37">
        <f>SUMIFS('כל ההוצאות'!$D:$D,'כל ההוצאות'!$B:$B,"Hedra",'כל ההוצאות'!$F:$F,"יוני 2026")</f>
        <v/>
      </c>
      <c r="Y11" s="38">
        <f>IF(X11&gt;0,X11*הגדרות!$B$4,"")</f>
        <v/>
      </c>
      <c r="Z11" s="37">
        <f>SUMIFS('כל ההוצאות'!$D:$D,'כל ההוצאות'!$B:$B,"Hedra",'כל ההוצאות'!$F:$F,"יולי 2026")</f>
        <v/>
      </c>
      <c r="AA11" s="38">
        <f>IF(Z11&gt;0,Z11*הגדרות!$B$4,"")</f>
        <v/>
      </c>
      <c r="AB11" s="37">
        <f>SUMIFS('כל ההוצאות'!$D:$D,'כל ההוצאות'!$B:$B,"Hedra",'כל ההוצאות'!$F:$F,"אוגוסט 2026")</f>
        <v/>
      </c>
      <c r="AC11" s="38">
        <f>IF(AB11&gt;0,AB11*הגדרות!$B$4,"")</f>
        <v/>
      </c>
      <c r="AD11" s="37">
        <f>SUMIFS('כל ההוצאות'!$D:$D,'כל ההוצאות'!$B:$B,"Hedra",'כל ההוצאות'!$F:$F,"ספטמבר 2026")</f>
        <v/>
      </c>
      <c r="AE11" s="38">
        <f>IF(AD11&gt;0,AD11*הגדרות!$B$4,"")</f>
        <v/>
      </c>
      <c r="AF11" s="37">
        <f>SUMIFS('כל ההוצאות'!$D:$D,'כל ההוצאות'!$B:$B,"Hedra",'כל ההוצאות'!$F:$F,"אוקטובר 2026")</f>
        <v/>
      </c>
      <c r="AG11" s="38">
        <f>IF(AF11&gt;0,AF11*הגדרות!$B$4,"")</f>
        <v/>
      </c>
      <c r="AH11" s="37">
        <f>SUMIFS('כל ההוצאות'!$D:$D,'כל ההוצאות'!$B:$B,"Hedra",'כל ההוצאות'!$F:$F,"נובמבר 2026")</f>
        <v/>
      </c>
      <c r="AI11" s="38">
        <f>IF(AH11&gt;0,AH11*הגדרות!$B$4,"")</f>
        <v/>
      </c>
      <c r="AJ11" s="37">
        <f>SUMIFS('כל ההוצאות'!$D:$D,'כל ההוצאות'!$B:$B,"Hedra",'כל ההוצאות'!$F:$F,"דצמבר 2026")</f>
        <v/>
      </c>
      <c r="AK11" s="38">
        <f>IF(AJ11&gt;0,AJ11*הגדרות!$B$4,"")</f>
        <v/>
      </c>
      <c r="AL11" s="39">
        <f>SUM(B11,D11,F11,H11,J11,L11,N11,P11,R11,T11,V11,X11,Z11,AB11,AD11,AF11,AH11,AJ11)</f>
        <v/>
      </c>
      <c r="AM11" s="40">
        <f>IF(AL11&gt;0,AL11*הגדרות!$B$4,"")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IF(B12&gt;0,B12*הגדרות!$B$4,"")</f>
        <v/>
      </c>
      <c r="D12" s="42">
        <f>SUMIFS('כל ההוצאות'!$D:$D,'כל ההוצאות'!$B:$B,"Higgsfield",'כל ההוצאות'!$F:$F,"אוגוסט 2025")</f>
        <v/>
      </c>
      <c r="E12" s="43">
        <f>IF(D12&gt;0,D12*הגדרות!$B$4,"")</f>
        <v/>
      </c>
      <c r="F12" s="42">
        <f>SUMIFS('כל ההוצאות'!$D:$D,'כל ההוצאות'!$B:$B,"Higgsfield",'כל ההוצאות'!$F:$F,"ספטמבר 2025")</f>
        <v/>
      </c>
      <c r="G12" s="43">
        <f>IF(F12&gt;0,F12*הגדרות!$B$4,"")</f>
        <v/>
      </c>
      <c r="H12" s="42">
        <f>SUMIFS('כל ההוצאות'!$D:$D,'כל ההוצאות'!$B:$B,"Higgsfield",'כל ההוצאות'!$F:$F,"אוקטובר 2025")</f>
        <v/>
      </c>
      <c r="I12" s="43">
        <f>IF(H12&gt;0,H12*הגדרות!$B$4,"")</f>
        <v/>
      </c>
      <c r="J12" s="42">
        <f>SUMIFS('כל ההוצאות'!$D:$D,'כל ההוצאות'!$B:$B,"Higgsfield",'כל ההוצאות'!$F:$F,"נובמבר 2025")</f>
        <v/>
      </c>
      <c r="K12" s="43">
        <f>IF(J12&gt;0,J12*הגדרות!$B$4,"")</f>
        <v/>
      </c>
      <c r="L12" s="42">
        <f>SUMIFS('כל ההוצאות'!$D:$D,'כל ההוצאות'!$B:$B,"Higgsfield",'כל ההוצאות'!$F:$F,"דצמבר 2025")</f>
        <v/>
      </c>
      <c r="M12" s="43">
        <f>IF(L12&gt;0,L12*הגדרות!$B$4,"")</f>
        <v/>
      </c>
      <c r="N12" s="42">
        <f>SUMIFS('כל ההוצאות'!$D:$D,'כל ההוצאות'!$B:$B,"Higgsfield",'כל ההוצאות'!$F:$F,"ינואר 2026")</f>
        <v/>
      </c>
      <c r="O12" s="43">
        <f>IF(N12&gt;0,N12*הגדרות!$B$4,"")</f>
        <v/>
      </c>
      <c r="P12" s="42">
        <f>SUMIFS('כל ההוצאות'!$D:$D,'כל ההוצאות'!$B:$B,"Higgsfield",'כל ההוצאות'!$F:$F,"פברואר 2026")</f>
        <v/>
      </c>
      <c r="Q12" s="43">
        <f>IF(P12&gt;0,P12*הגדרות!$B$4,"")</f>
        <v/>
      </c>
      <c r="R12" s="42">
        <f>SUMIFS('כל ההוצאות'!$D:$D,'כל ההוצאות'!$B:$B,"Higgsfield",'כל ההוצאות'!$F:$F,"מרץ 2026")</f>
        <v/>
      </c>
      <c r="S12" s="43">
        <f>IF(R12&gt;0,R12*הגדרות!$B$4,"")</f>
        <v/>
      </c>
      <c r="T12" s="42">
        <f>SUMIFS('כל ההוצאות'!$D:$D,'כל ההוצאות'!$B:$B,"Higgsfield",'כל ההוצאות'!$F:$F,"אפריל 2026")</f>
        <v/>
      </c>
      <c r="U12" s="43">
        <f>IF(T12&gt;0,T12*הגדרות!$B$4,"")</f>
        <v/>
      </c>
      <c r="V12" s="42">
        <f>SUMIFS('כל ההוצאות'!$D:$D,'כל ההוצאות'!$B:$B,"Higgsfield",'כל ההוצאות'!$F:$F,"מאי 2026")</f>
        <v/>
      </c>
      <c r="W12" s="43">
        <f>IF(V12&gt;0,V12*הגדרות!$B$4,"")</f>
        <v/>
      </c>
      <c r="X12" s="42">
        <f>SUMIFS('כל ההוצאות'!$D:$D,'כל ההוצאות'!$B:$B,"Higgsfield",'כל ההוצאות'!$F:$F,"יוני 2026")</f>
        <v/>
      </c>
      <c r="Y12" s="43">
        <f>IF(X12&gt;0,X12*הגדרות!$B$4,"")</f>
        <v/>
      </c>
      <c r="Z12" s="42">
        <f>SUMIFS('כל ההוצאות'!$D:$D,'כל ההוצאות'!$B:$B,"Higgsfield",'כל ההוצאות'!$F:$F,"יולי 2026")</f>
        <v/>
      </c>
      <c r="AA12" s="43">
        <f>IF(Z12&gt;0,Z12*הגדרות!$B$4,"")</f>
        <v/>
      </c>
      <c r="AB12" s="42">
        <f>SUMIFS('כל ההוצאות'!$D:$D,'כל ההוצאות'!$B:$B,"Higgsfield",'כל ההוצאות'!$F:$F,"אוגוסט 2026")</f>
        <v/>
      </c>
      <c r="AC12" s="43">
        <f>IF(AB12&gt;0,AB12*הגדרות!$B$4,"")</f>
        <v/>
      </c>
      <c r="AD12" s="42">
        <f>SUMIFS('כל ההוצאות'!$D:$D,'כל ההוצאות'!$B:$B,"Higgsfield",'כל ההוצאות'!$F:$F,"ספטמבר 2026")</f>
        <v/>
      </c>
      <c r="AE12" s="43">
        <f>IF(AD12&gt;0,AD12*הגדרות!$B$4,"")</f>
        <v/>
      </c>
      <c r="AF12" s="42">
        <f>SUMIFS('כל ההוצאות'!$D:$D,'כל ההוצאות'!$B:$B,"Higgsfield",'כל ההוצאות'!$F:$F,"אוקטובר 2026")</f>
        <v/>
      </c>
      <c r="AG12" s="43">
        <f>IF(AF12&gt;0,AF12*הגדרות!$B$4,"")</f>
        <v/>
      </c>
      <c r="AH12" s="42">
        <f>SUMIFS('כל ההוצאות'!$D:$D,'כל ההוצאות'!$B:$B,"Higgsfield",'כל ההוצאות'!$F:$F,"נובמבר 2026")</f>
        <v/>
      </c>
      <c r="AI12" s="43">
        <f>IF(AH12&gt;0,AH12*הגדרות!$B$4,"")</f>
        <v/>
      </c>
      <c r="AJ12" s="42">
        <f>SUMIFS('כל ההוצאות'!$D:$D,'כל ההוצאות'!$B:$B,"Higgsfield",'כל ההוצאות'!$F:$F,"דצמבר 2026")</f>
        <v/>
      </c>
      <c r="AK12" s="43">
        <f>IF(AJ12&gt;0,AJ12*הגדרות!$B$4,"")</f>
        <v/>
      </c>
      <c r="AL12" s="39">
        <f>SUM(B12,D12,F12,H12,J12,L12,N12,P12,R12,T12,V12,X12,Z12,AB12,AD12,AF12,AH12,AJ12)</f>
        <v/>
      </c>
      <c r="AM12" s="40">
        <f>IF(AL12&gt;0,AL12*הגדרות!$B$4,"")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IF(B13&gt;0,B13*הגדרות!$B$4,"")</f>
        <v/>
      </c>
      <c r="D13" s="37">
        <f>SUMIFS('כל ההוצאות'!$D:$D,'כל ההוצאות'!$B:$B,"IONOS",'כל ההוצאות'!$F:$F,"אוגוסט 2025")</f>
        <v/>
      </c>
      <c r="E13" s="38">
        <f>IF(D13&gt;0,D13*הגדרות!$B$4,"")</f>
        <v/>
      </c>
      <c r="F13" s="37">
        <f>SUMIFS('כל ההוצאות'!$D:$D,'כל ההוצאות'!$B:$B,"IONOS",'כל ההוצאות'!$F:$F,"ספטמבר 2025")</f>
        <v/>
      </c>
      <c r="G13" s="38">
        <f>IF(F13&gt;0,F13*הגדרות!$B$4,"")</f>
        <v/>
      </c>
      <c r="H13" s="37">
        <f>SUMIFS('כל ההוצאות'!$D:$D,'כל ההוצאות'!$B:$B,"IONOS",'כל ההוצאות'!$F:$F,"אוקטובר 2025")</f>
        <v/>
      </c>
      <c r="I13" s="38">
        <f>IF(H13&gt;0,H13*הגדרות!$B$4,"")</f>
        <v/>
      </c>
      <c r="J13" s="37">
        <f>SUMIFS('כל ההוצאות'!$D:$D,'כל ההוצאות'!$B:$B,"IONOS",'כל ההוצאות'!$F:$F,"נובמבר 2025")</f>
        <v/>
      </c>
      <c r="K13" s="38">
        <f>IF(J13&gt;0,J13*הגדרות!$B$4,"")</f>
        <v/>
      </c>
      <c r="L13" s="37">
        <f>SUMIFS('כל ההוצאות'!$D:$D,'כל ההוצאות'!$B:$B,"IONOS",'כל ההוצאות'!$F:$F,"דצמבר 2025")</f>
        <v/>
      </c>
      <c r="M13" s="38">
        <f>IF(L13&gt;0,L13*הגדרות!$B$4,"")</f>
        <v/>
      </c>
      <c r="N13" s="37">
        <f>SUMIFS('כל ההוצאות'!$D:$D,'כל ההוצאות'!$B:$B,"IONOS",'כל ההוצאות'!$F:$F,"ינואר 2026")</f>
        <v/>
      </c>
      <c r="O13" s="38">
        <f>IF(N13&gt;0,N13*הגדרות!$B$4,"")</f>
        <v/>
      </c>
      <c r="P13" s="37">
        <f>SUMIFS('כל ההוצאות'!$D:$D,'כל ההוצאות'!$B:$B,"IONOS",'כל ההוצאות'!$F:$F,"פברואר 2026")</f>
        <v/>
      </c>
      <c r="Q13" s="38">
        <f>IF(P13&gt;0,P13*הגדרות!$B$4,"")</f>
        <v/>
      </c>
      <c r="R13" s="37">
        <f>SUMIFS('כל ההוצאות'!$D:$D,'כל ההוצאות'!$B:$B,"IONOS",'כל ההוצאות'!$F:$F,"מרץ 2026")</f>
        <v/>
      </c>
      <c r="S13" s="38">
        <f>IF(R13&gt;0,R13*הגדרות!$B$4,"")</f>
        <v/>
      </c>
      <c r="T13" s="37">
        <f>SUMIFS('כל ההוצאות'!$D:$D,'כל ההוצאות'!$B:$B,"IONOS",'כל ההוצאות'!$F:$F,"אפריל 2026")</f>
        <v/>
      </c>
      <c r="U13" s="38">
        <f>IF(T13&gt;0,T13*הגדרות!$B$4,"")</f>
        <v/>
      </c>
      <c r="V13" s="37">
        <f>SUMIFS('כל ההוצאות'!$D:$D,'כל ההוצאות'!$B:$B,"IONOS",'כל ההוצאות'!$F:$F,"מאי 2026")</f>
        <v/>
      </c>
      <c r="W13" s="38">
        <f>IF(V13&gt;0,V13*הגדרות!$B$4,"")</f>
        <v/>
      </c>
      <c r="X13" s="37">
        <f>SUMIFS('כל ההוצאות'!$D:$D,'כל ההוצאות'!$B:$B,"IONOS",'כל ההוצאות'!$F:$F,"יוני 2026")</f>
        <v/>
      </c>
      <c r="Y13" s="38">
        <f>IF(X13&gt;0,X13*הגדרות!$B$4,"")</f>
        <v/>
      </c>
      <c r="Z13" s="37">
        <f>SUMIFS('כל ההוצאות'!$D:$D,'כל ההוצאות'!$B:$B,"IONOS",'כל ההוצאות'!$F:$F,"יולי 2026")</f>
        <v/>
      </c>
      <c r="AA13" s="38">
        <f>IF(Z13&gt;0,Z13*הגדרות!$B$4,"")</f>
        <v/>
      </c>
      <c r="AB13" s="37">
        <f>SUMIFS('כל ההוצאות'!$D:$D,'כל ההוצאות'!$B:$B,"IONOS",'כל ההוצאות'!$F:$F,"אוגוסט 2026")</f>
        <v/>
      </c>
      <c r="AC13" s="38">
        <f>IF(AB13&gt;0,AB13*הגדרות!$B$4,"")</f>
        <v/>
      </c>
      <c r="AD13" s="37">
        <f>SUMIFS('כל ההוצאות'!$D:$D,'כל ההוצאות'!$B:$B,"IONOS",'כל ההוצאות'!$F:$F,"ספטמבר 2026")</f>
        <v/>
      </c>
      <c r="AE13" s="38">
        <f>IF(AD13&gt;0,AD13*הגדרות!$B$4,"")</f>
        <v/>
      </c>
      <c r="AF13" s="37">
        <f>SUMIFS('כל ההוצאות'!$D:$D,'כל ההוצאות'!$B:$B,"IONOS",'כל ההוצאות'!$F:$F,"אוקטובר 2026")</f>
        <v/>
      </c>
      <c r="AG13" s="38">
        <f>IF(AF13&gt;0,AF13*הגדרות!$B$4,"")</f>
        <v/>
      </c>
      <c r="AH13" s="37">
        <f>SUMIFS('כל ההוצאות'!$D:$D,'כל ההוצאות'!$B:$B,"IONOS",'כל ההוצאות'!$F:$F,"נובמבר 2026")</f>
        <v/>
      </c>
      <c r="AI13" s="38">
        <f>IF(AH13&gt;0,AH13*הגדרות!$B$4,"")</f>
        <v/>
      </c>
      <c r="AJ13" s="37">
        <f>SUMIFS('כל ההוצאות'!$D:$D,'כל ההוצאות'!$B:$B,"IONOS",'כל ההוצאות'!$F:$F,"דצמבר 2026")</f>
        <v/>
      </c>
      <c r="AK13" s="38">
        <f>IF(AJ13&gt;0,AJ13*הגדרות!$B$4,"")</f>
        <v/>
      </c>
      <c r="AL13" s="39">
        <f>SUM(B13,D13,F13,H13,J13,L13,N13,P13,R13,T13,V13,X13,Z13,AB13,AD13,AF13,AH13,AJ13)</f>
        <v/>
      </c>
      <c r="AM13" s="40">
        <f>IF(AL13&gt;0,AL13*הגדרות!$B$4,"")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IF(B14&gt;0,B14*הגדרות!$B$4,"")</f>
        <v/>
      </c>
      <c r="D14" s="42">
        <f>SUMIFS('כל ההוצאות'!$D:$D,'כל ההוצאות'!$B:$B,"Ideogram AI",'כל ההוצאות'!$F:$F,"אוגוסט 2025")</f>
        <v/>
      </c>
      <c r="E14" s="43">
        <f>IF(D14&gt;0,D14*הגדרות!$B$4,"")</f>
        <v/>
      </c>
      <c r="F14" s="42">
        <f>SUMIFS('כל ההוצאות'!$D:$D,'כל ההוצאות'!$B:$B,"Ideogram AI",'כל ההוצאות'!$F:$F,"ספטמבר 2025")</f>
        <v/>
      </c>
      <c r="G14" s="43">
        <f>IF(F14&gt;0,F14*הגדרות!$B$4,"")</f>
        <v/>
      </c>
      <c r="H14" s="42">
        <f>SUMIFS('כל ההוצאות'!$D:$D,'כל ההוצאות'!$B:$B,"Ideogram AI",'כל ההוצאות'!$F:$F,"אוקטובר 2025")</f>
        <v/>
      </c>
      <c r="I14" s="43">
        <f>IF(H14&gt;0,H14*הגדרות!$B$4,"")</f>
        <v/>
      </c>
      <c r="J14" s="42">
        <f>SUMIFS('כל ההוצאות'!$D:$D,'כל ההוצאות'!$B:$B,"Ideogram AI",'כל ההוצאות'!$F:$F,"נובמבר 2025")</f>
        <v/>
      </c>
      <c r="K14" s="43">
        <f>IF(J14&gt;0,J14*הגדרות!$B$4,"")</f>
        <v/>
      </c>
      <c r="L14" s="42">
        <f>SUMIFS('כל ההוצאות'!$D:$D,'כל ההוצאות'!$B:$B,"Ideogram AI",'כל ההוצאות'!$F:$F,"דצמבר 2025")</f>
        <v/>
      </c>
      <c r="M14" s="43">
        <f>IF(L14&gt;0,L14*הגדרות!$B$4,"")</f>
        <v/>
      </c>
      <c r="N14" s="42">
        <f>SUMIFS('כל ההוצאות'!$D:$D,'כל ההוצאות'!$B:$B,"Ideogram AI",'כל ההוצאות'!$F:$F,"ינואר 2026")</f>
        <v/>
      </c>
      <c r="O14" s="43">
        <f>IF(N14&gt;0,N14*הגדרות!$B$4,"")</f>
        <v/>
      </c>
      <c r="P14" s="42">
        <f>SUMIFS('כל ההוצאות'!$D:$D,'כל ההוצאות'!$B:$B,"Ideogram AI",'כל ההוצאות'!$F:$F,"פברואר 2026")</f>
        <v/>
      </c>
      <c r="Q14" s="43">
        <f>IF(P14&gt;0,P14*הגדרות!$B$4,"")</f>
        <v/>
      </c>
      <c r="R14" s="42">
        <f>SUMIFS('כל ההוצאות'!$D:$D,'כל ההוצאות'!$B:$B,"Ideogram AI",'כל ההוצאות'!$F:$F,"מרץ 2026")</f>
        <v/>
      </c>
      <c r="S14" s="43">
        <f>IF(R14&gt;0,R14*הגדרות!$B$4,"")</f>
        <v/>
      </c>
      <c r="T14" s="42">
        <f>SUMIFS('כל ההוצאות'!$D:$D,'כל ההוצאות'!$B:$B,"Ideogram AI",'כל ההוצאות'!$F:$F,"אפריל 2026")</f>
        <v/>
      </c>
      <c r="U14" s="43">
        <f>IF(T14&gt;0,T14*הגדרות!$B$4,"")</f>
        <v/>
      </c>
      <c r="V14" s="42">
        <f>SUMIFS('כל ההוצאות'!$D:$D,'כל ההוצאות'!$B:$B,"Ideogram AI",'כל ההוצאות'!$F:$F,"מאי 2026")</f>
        <v/>
      </c>
      <c r="W14" s="43">
        <f>IF(V14&gt;0,V14*הגדרות!$B$4,"")</f>
        <v/>
      </c>
      <c r="X14" s="42">
        <f>SUMIFS('כל ההוצאות'!$D:$D,'כל ההוצאות'!$B:$B,"Ideogram AI",'כל ההוצאות'!$F:$F,"יוני 2026")</f>
        <v/>
      </c>
      <c r="Y14" s="43">
        <f>IF(X14&gt;0,X14*הגדרות!$B$4,"")</f>
        <v/>
      </c>
      <c r="Z14" s="42">
        <f>SUMIFS('כל ההוצאות'!$D:$D,'כל ההוצאות'!$B:$B,"Ideogram AI",'כל ההוצאות'!$F:$F,"יולי 2026")</f>
        <v/>
      </c>
      <c r="AA14" s="43">
        <f>IF(Z14&gt;0,Z14*הגדרות!$B$4,"")</f>
        <v/>
      </c>
      <c r="AB14" s="42">
        <f>SUMIFS('כל ההוצאות'!$D:$D,'כל ההוצאות'!$B:$B,"Ideogram AI",'כל ההוצאות'!$F:$F,"אוגוסט 2026")</f>
        <v/>
      </c>
      <c r="AC14" s="43">
        <f>IF(AB14&gt;0,AB14*הגדרות!$B$4,"")</f>
        <v/>
      </c>
      <c r="AD14" s="42">
        <f>SUMIFS('כל ההוצאות'!$D:$D,'כל ההוצאות'!$B:$B,"Ideogram AI",'כל ההוצאות'!$F:$F,"ספטמבר 2026")</f>
        <v/>
      </c>
      <c r="AE14" s="43">
        <f>IF(AD14&gt;0,AD14*הגדרות!$B$4,"")</f>
        <v/>
      </c>
      <c r="AF14" s="42">
        <f>SUMIFS('כל ההוצאות'!$D:$D,'כל ההוצאות'!$B:$B,"Ideogram AI",'כל ההוצאות'!$F:$F,"אוקטובר 2026")</f>
        <v/>
      </c>
      <c r="AG14" s="43">
        <f>IF(AF14&gt;0,AF14*הגדרות!$B$4,"")</f>
        <v/>
      </c>
      <c r="AH14" s="42">
        <f>SUMIFS('כל ההוצאות'!$D:$D,'כל ההוצאות'!$B:$B,"Ideogram AI",'כל ההוצאות'!$F:$F,"נובמבר 2026")</f>
        <v/>
      </c>
      <c r="AI14" s="43">
        <f>IF(AH14&gt;0,AH14*הגדרות!$B$4,"")</f>
        <v/>
      </c>
      <c r="AJ14" s="42">
        <f>SUMIFS('כל ההוצאות'!$D:$D,'כל ההוצאות'!$B:$B,"Ideogram AI",'כל ההוצאות'!$F:$F,"דצמבר 2026")</f>
        <v/>
      </c>
      <c r="AK14" s="43">
        <f>IF(AJ14&gt;0,AJ14*הגדרות!$B$4,"")</f>
        <v/>
      </c>
      <c r="AL14" s="39">
        <f>SUM(B14,D14,F14,H14,J14,L14,N14,P14,R14,T14,V14,X14,Z14,AB14,AD14,AF14,AH14,AJ14)</f>
        <v/>
      </c>
      <c r="AM14" s="40">
        <f>IF(AL14&gt;0,AL14*הגדרות!$B$4,"")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IF(B15&gt;0,B15*הגדרות!$B$4,"")</f>
        <v/>
      </c>
      <c r="D15" s="37">
        <f>SUMIFS('כל ההוצאות'!$D:$D,'כל ההוצאות'!$B:$B,"Lovable",'כל ההוצאות'!$F:$F,"אוגוסט 2025")</f>
        <v/>
      </c>
      <c r="E15" s="38">
        <f>IF(D15&gt;0,D15*הגדרות!$B$4,"")</f>
        <v/>
      </c>
      <c r="F15" s="37">
        <f>SUMIFS('כל ההוצאות'!$D:$D,'כל ההוצאות'!$B:$B,"Lovable",'כל ההוצאות'!$F:$F,"ספטמבר 2025")</f>
        <v/>
      </c>
      <c r="G15" s="38">
        <f>IF(F15&gt;0,F15*הגדרות!$B$4,"")</f>
        <v/>
      </c>
      <c r="H15" s="37">
        <f>SUMIFS('כל ההוצאות'!$D:$D,'כל ההוצאות'!$B:$B,"Lovable",'כל ההוצאות'!$F:$F,"אוקטובר 2025")</f>
        <v/>
      </c>
      <c r="I15" s="38">
        <f>IF(H15&gt;0,H15*הגדרות!$B$4,"")</f>
        <v/>
      </c>
      <c r="J15" s="37">
        <f>SUMIFS('כל ההוצאות'!$D:$D,'כל ההוצאות'!$B:$B,"Lovable",'כל ההוצאות'!$F:$F,"נובמבר 2025")</f>
        <v/>
      </c>
      <c r="K15" s="38">
        <f>IF(J15&gt;0,J15*הגדרות!$B$4,"")</f>
        <v/>
      </c>
      <c r="L15" s="37">
        <f>SUMIFS('כל ההוצאות'!$D:$D,'כל ההוצאות'!$B:$B,"Lovable",'כל ההוצאות'!$F:$F,"דצמבר 2025")</f>
        <v/>
      </c>
      <c r="M15" s="38">
        <f>IF(L15&gt;0,L15*הגדרות!$B$4,"")</f>
        <v/>
      </c>
      <c r="N15" s="37">
        <f>SUMIFS('כל ההוצאות'!$D:$D,'כל ההוצאות'!$B:$B,"Lovable",'כל ההוצאות'!$F:$F,"ינואר 2026")</f>
        <v/>
      </c>
      <c r="O15" s="38">
        <f>IF(N15&gt;0,N15*הגדרות!$B$4,"")</f>
        <v/>
      </c>
      <c r="P15" s="37">
        <f>SUMIFS('כל ההוצאות'!$D:$D,'כל ההוצאות'!$B:$B,"Lovable",'כל ההוצאות'!$F:$F,"פברואר 2026")</f>
        <v/>
      </c>
      <c r="Q15" s="38">
        <f>IF(P15&gt;0,P15*הגדרות!$B$4,"")</f>
        <v/>
      </c>
      <c r="R15" s="37">
        <f>SUMIFS('כל ההוצאות'!$D:$D,'כל ההוצאות'!$B:$B,"Lovable",'כל ההוצאות'!$F:$F,"מרץ 2026")</f>
        <v/>
      </c>
      <c r="S15" s="38">
        <f>IF(R15&gt;0,R15*הגדרות!$B$4,"")</f>
        <v/>
      </c>
      <c r="T15" s="37">
        <f>SUMIFS('כל ההוצאות'!$D:$D,'כל ההוצאות'!$B:$B,"Lovable",'כל ההוצאות'!$F:$F,"אפריל 2026")</f>
        <v/>
      </c>
      <c r="U15" s="38">
        <f>IF(T15&gt;0,T15*הגדרות!$B$4,"")</f>
        <v/>
      </c>
      <c r="V15" s="37">
        <f>SUMIFS('כל ההוצאות'!$D:$D,'כל ההוצאות'!$B:$B,"Lovable",'כל ההוצאות'!$F:$F,"מאי 2026")</f>
        <v/>
      </c>
      <c r="W15" s="38">
        <f>IF(V15&gt;0,V15*הגדרות!$B$4,"")</f>
        <v/>
      </c>
      <c r="X15" s="37">
        <f>SUMIFS('כל ההוצאות'!$D:$D,'כל ההוצאות'!$B:$B,"Lovable",'כל ההוצאות'!$F:$F,"יוני 2026")</f>
        <v/>
      </c>
      <c r="Y15" s="38">
        <f>IF(X15&gt;0,X15*הגדרות!$B$4,"")</f>
        <v/>
      </c>
      <c r="Z15" s="37">
        <f>SUMIFS('כל ההוצאות'!$D:$D,'כל ההוצאות'!$B:$B,"Lovable",'כל ההוצאות'!$F:$F,"יולי 2026")</f>
        <v/>
      </c>
      <c r="AA15" s="38">
        <f>IF(Z15&gt;0,Z15*הגדרות!$B$4,"")</f>
        <v/>
      </c>
      <c r="AB15" s="37">
        <f>SUMIFS('כל ההוצאות'!$D:$D,'כל ההוצאות'!$B:$B,"Lovable",'כל ההוצאות'!$F:$F,"אוגוסט 2026")</f>
        <v/>
      </c>
      <c r="AC15" s="38">
        <f>IF(AB15&gt;0,AB15*הגדרות!$B$4,"")</f>
        <v/>
      </c>
      <c r="AD15" s="37">
        <f>SUMIFS('כל ההוצאות'!$D:$D,'כל ההוצאות'!$B:$B,"Lovable",'כל ההוצאות'!$F:$F,"ספטמבר 2026")</f>
        <v/>
      </c>
      <c r="AE15" s="38">
        <f>IF(AD15&gt;0,AD15*הגדרות!$B$4,"")</f>
        <v/>
      </c>
      <c r="AF15" s="37">
        <f>SUMIFS('כל ההוצאות'!$D:$D,'כל ההוצאות'!$B:$B,"Lovable",'כל ההוצאות'!$F:$F,"אוקטובר 2026")</f>
        <v/>
      </c>
      <c r="AG15" s="38">
        <f>IF(AF15&gt;0,AF15*הגדרות!$B$4,"")</f>
        <v/>
      </c>
      <c r="AH15" s="37">
        <f>SUMIFS('כל ההוצאות'!$D:$D,'כל ההוצאות'!$B:$B,"Lovable",'כל ההוצאות'!$F:$F,"נובמבר 2026")</f>
        <v/>
      </c>
      <c r="AI15" s="38">
        <f>IF(AH15&gt;0,AH15*הגדרות!$B$4,"")</f>
        <v/>
      </c>
      <c r="AJ15" s="37">
        <f>SUMIFS('כל ההוצאות'!$D:$D,'כל ההוצאות'!$B:$B,"Lovable",'כל ההוצאות'!$F:$F,"דצמבר 2026")</f>
        <v/>
      </c>
      <c r="AK15" s="38">
        <f>IF(AJ15&gt;0,AJ15*הגדרות!$B$4,"")</f>
        <v/>
      </c>
      <c r="AL15" s="39">
        <f>SUM(B15,D15,F15,H15,J15,L15,N15,P15,R15,T15,V15,X15,Z15,AB15,AD15,AF15,AH15,AJ15)</f>
        <v/>
      </c>
      <c r="AM15" s="40">
        <f>IF(AL15&gt;0,AL15*הגדרות!$B$4,"")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IF(B16&gt;0,B16*הגדרות!$B$4,"")</f>
        <v/>
      </c>
      <c r="D16" s="42">
        <f>SUMIFS('כל ההוצאות'!$D:$D,'כל ההוצאות'!$B:$B,"Make",'כל ההוצאות'!$F:$F,"אוגוסט 2025")</f>
        <v/>
      </c>
      <c r="E16" s="43">
        <f>IF(D16&gt;0,D16*הגדרות!$B$4,"")</f>
        <v/>
      </c>
      <c r="F16" s="42">
        <f>SUMIFS('כל ההוצאות'!$D:$D,'כל ההוצאות'!$B:$B,"Make",'כל ההוצאות'!$F:$F,"ספטמבר 2025")</f>
        <v/>
      </c>
      <c r="G16" s="43">
        <f>IF(F16&gt;0,F16*הגדרות!$B$4,"")</f>
        <v/>
      </c>
      <c r="H16" s="42">
        <f>SUMIFS('כל ההוצאות'!$D:$D,'כל ההוצאות'!$B:$B,"Make",'כל ההוצאות'!$F:$F,"אוקטובר 2025")</f>
        <v/>
      </c>
      <c r="I16" s="43">
        <f>IF(H16&gt;0,H16*הגדרות!$B$4,"")</f>
        <v/>
      </c>
      <c r="J16" s="42">
        <f>SUMIFS('כל ההוצאות'!$D:$D,'כל ההוצאות'!$B:$B,"Make",'כל ההוצאות'!$F:$F,"נובמבר 2025")</f>
        <v/>
      </c>
      <c r="K16" s="43">
        <f>IF(J16&gt;0,J16*הגדרות!$B$4,"")</f>
        <v/>
      </c>
      <c r="L16" s="42">
        <f>SUMIFS('כל ההוצאות'!$D:$D,'כל ההוצאות'!$B:$B,"Make",'כל ההוצאות'!$F:$F,"דצמבר 2025")</f>
        <v/>
      </c>
      <c r="M16" s="43">
        <f>IF(L16&gt;0,L16*הגדרות!$B$4,"")</f>
        <v/>
      </c>
      <c r="N16" s="42">
        <f>SUMIFS('כל ההוצאות'!$D:$D,'כל ההוצאות'!$B:$B,"Make",'כל ההוצאות'!$F:$F,"ינואר 2026")</f>
        <v/>
      </c>
      <c r="O16" s="43">
        <f>IF(N16&gt;0,N16*הגדרות!$B$4,"")</f>
        <v/>
      </c>
      <c r="P16" s="42">
        <f>SUMIFS('כל ההוצאות'!$D:$D,'כל ההוצאות'!$B:$B,"Make",'כל ההוצאות'!$F:$F,"פברואר 2026")</f>
        <v/>
      </c>
      <c r="Q16" s="43">
        <f>IF(P16&gt;0,P16*הגדרות!$B$4,"")</f>
        <v/>
      </c>
      <c r="R16" s="42">
        <f>SUMIFS('כל ההוצאות'!$D:$D,'כל ההוצאות'!$B:$B,"Make",'כל ההוצאות'!$F:$F,"מרץ 2026")</f>
        <v/>
      </c>
      <c r="S16" s="43">
        <f>IF(R16&gt;0,R16*הגדרות!$B$4,"")</f>
        <v/>
      </c>
      <c r="T16" s="42">
        <f>SUMIFS('כל ההוצאות'!$D:$D,'כל ההוצאות'!$B:$B,"Make",'כל ההוצאות'!$F:$F,"אפריל 2026")</f>
        <v/>
      </c>
      <c r="U16" s="43">
        <f>IF(T16&gt;0,T16*הגדרות!$B$4,"")</f>
        <v/>
      </c>
      <c r="V16" s="42">
        <f>SUMIFS('כל ההוצאות'!$D:$D,'כל ההוצאות'!$B:$B,"Make",'כל ההוצאות'!$F:$F,"מאי 2026")</f>
        <v/>
      </c>
      <c r="W16" s="43">
        <f>IF(V16&gt;0,V16*הגדרות!$B$4,"")</f>
        <v/>
      </c>
      <c r="X16" s="42">
        <f>SUMIFS('כל ההוצאות'!$D:$D,'כל ההוצאות'!$B:$B,"Make",'כל ההוצאות'!$F:$F,"יוני 2026")</f>
        <v/>
      </c>
      <c r="Y16" s="43">
        <f>IF(X16&gt;0,X16*הגדרות!$B$4,"")</f>
        <v/>
      </c>
      <c r="Z16" s="42">
        <f>SUMIFS('כל ההוצאות'!$D:$D,'כל ההוצאות'!$B:$B,"Make",'כל ההוצאות'!$F:$F,"יולי 2026")</f>
        <v/>
      </c>
      <c r="AA16" s="43">
        <f>IF(Z16&gt;0,Z16*הגדרות!$B$4,"")</f>
        <v/>
      </c>
      <c r="AB16" s="42">
        <f>SUMIFS('כל ההוצאות'!$D:$D,'כל ההוצאות'!$B:$B,"Make",'כל ההוצאות'!$F:$F,"אוגוסט 2026")</f>
        <v/>
      </c>
      <c r="AC16" s="43">
        <f>IF(AB16&gt;0,AB16*הגדרות!$B$4,"")</f>
        <v/>
      </c>
      <c r="AD16" s="42">
        <f>SUMIFS('כל ההוצאות'!$D:$D,'כל ההוצאות'!$B:$B,"Make",'כל ההוצאות'!$F:$F,"ספטמבר 2026")</f>
        <v/>
      </c>
      <c r="AE16" s="43">
        <f>IF(AD16&gt;0,AD16*הגדרות!$B$4,"")</f>
        <v/>
      </c>
      <c r="AF16" s="42">
        <f>SUMIFS('כל ההוצאות'!$D:$D,'כל ההוצאות'!$B:$B,"Make",'כל ההוצאות'!$F:$F,"אוקטובר 2026")</f>
        <v/>
      </c>
      <c r="AG16" s="43">
        <f>IF(AF16&gt;0,AF16*הגדרות!$B$4,"")</f>
        <v/>
      </c>
      <c r="AH16" s="42">
        <f>SUMIFS('כל ההוצאות'!$D:$D,'כל ההוצאות'!$B:$B,"Make",'כל ההוצאות'!$F:$F,"נובמבר 2026")</f>
        <v/>
      </c>
      <c r="AI16" s="43">
        <f>IF(AH16&gt;0,AH16*הגדרות!$B$4,"")</f>
        <v/>
      </c>
      <c r="AJ16" s="42">
        <f>SUMIFS('כל ההוצאות'!$D:$D,'כל ההוצאות'!$B:$B,"Make",'כל ההוצאות'!$F:$F,"דצמבר 2026")</f>
        <v/>
      </c>
      <c r="AK16" s="43">
        <f>IF(AJ16&gt;0,AJ16*הגדרות!$B$4,"")</f>
        <v/>
      </c>
      <c r="AL16" s="39">
        <f>SUM(B16,D16,F16,H16,J16,L16,N16,P16,R16,T16,V16,X16,Z16,AB16,AD16,AF16,AH16,AJ16)</f>
        <v/>
      </c>
      <c r="AM16" s="40">
        <f>IF(AL16&gt;0,AL16*הגדרות!$B$4,"")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IF(B17&gt;0,B17*הגדרות!$B$4,"")</f>
        <v/>
      </c>
      <c r="D17" s="37">
        <f>SUMIFS('כל ההוצאות'!$D:$D,'כל ההוצאות'!$B:$B,"Manus AI",'כל ההוצאות'!$F:$F,"אוגוסט 2025")</f>
        <v/>
      </c>
      <c r="E17" s="38">
        <f>IF(D17&gt;0,D17*הגדרות!$B$4,"")</f>
        <v/>
      </c>
      <c r="F17" s="37">
        <f>SUMIFS('כל ההוצאות'!$D:$D,'כל ההוצאות'!$B:$B,"Manus AI",'כל ההוצאות'!$F:$F,"ספטמבר 2025")</f>
        <v/>
      </c>
      <c r="G17" s="38">
        <f>IF(F17&gt;0,F17*הגדרות!$B$4,"")</f>
        <v/>
      </c>
      <c r="H17" s="37">
        <f>SUMIFS('כל ההוצאות'!$D:$D,'כל ההוצאות'!$B:$B,"Manus AI",'כל ההוצאות'!$F:$F,"אוקטובר 2025")</f>
        <v/>
      </c>
      <c r="I17" s="38">
        <f>IF(H17&gt;0,H17*הגדרות!$B$4,"")</f>
        <v/>
      </c>
      <c r="J17" s="37">
        <f>SUMIFS('כל ההוצאות'!$D:$D,'כל ההוצאות'!$B:$B,"Manus AI",'כל ההוצאות'!$F:$F,"נובמבר 2025")</f>
        <v/>
      </c>
      <c r="K17" s="38">
        <f>IF(J17&gt;0,J17*הגדרות!$B$4,"")</f>
        <v/>
      </c>
      <c r="L17" s="37">
        <f>SUMIFS('כל ההוצאות'!$D:$D,'כל ההוצאות'!$B:$B,"Manus AI",'כל ההוצאות'!$F:$F,"דצמבר 2025")</f>
        <v/>
      </c>
      <c r="M17" s="38">
        <f>IF(L17&gt;0,L17*הגדרות!$B$4,"")</f>
        <v/>
      </c>
      <c r="N17" s="37">
        <f>SUMIFS('כל ההוצאות'!$D:$D,'כל ההוצאות'!$B:$B,"Manus AI",'כל ההוצאות'!$F:$F,"ינואר 2026")</f>
        <v/>
      </c>
      <c r="O17" s="38">
        <f>IF(N17&gt;0,N17*הגדרות!$B$4,"")</f>
        <v/>
      </c>
      <c r="P17" s="37">
        <f>SUMIFS('כל ההוצאות'!$D:$D,'כל ההוצאות'!$B:$B,"Manus AI",'כל ההוצאות'!$F:$F,"פברואר 2026")</f>
        <v/>
      </c>
      <c r="Q17" s="38">
        <f>IF(P17&gt;0,P17*הגדרות!$B$4,"")</f>
        <v/>
      </c>
      <c r="R17" s="37">
        <f>SUMIFS('כל ההוצאות'!$D:$D,'כל ההוצאות'!$B:$B,"Manus AI",'כל ההוצאות'!$F:$F,"מרץ 2026")</f>
        <v/>
      </c>
      <c r="S17" s="38">
        <f>IF(R17&gt;0,R17*הגדרות!$B$4,"")</f>
        <v/>
      </c>
      <c r="T17" s="37">
        <f>SUMIFS('כל ההוצאות'!$D:$D,'כל ההוצאות'!$B:$B,"Manus AI",'כל ההוצאות'!$F:$F,"אפריל 2026")</f>
        <v/>
      </c>
      <c r="U17" s="38">
        <f>IF(T17&gt;0,T17*הגדרות!$B$4,"")</f>
        <v/>
      </c>
      <c r="V17" s="37">
        <f>SUMIFS('כל ההוצאות'!$D:$D,'כל ההוצאות'!$B:$B,"Manus AI",'כל ההוצאות'!$F:$F,"מאי 2026")</f>
        <v/>
      </c>
      <c r="W17" s="38">
        <f>IF(V17&gt;0,V17*הגדרות!$B$4,"")</f>
        <v/>
      </c>
      <c r="X17" s="37">
        <f>SUMIFS('כל ההוצאות'!$D:$D,'כל ההוצאות'!$B:$B,"Manus AI",'כל ההוצאות'!$F:$F,"יוני 2026")</f>
        <v/>
      </c>
      <c r="Y17" s="38">
        <f>IF(X17&gt;0,X17*הגדרות!$B$4,"")</f>
        <v/>
      </c>
      <c r="Z17" s="37">
        <f>SUMIFS('כל ההוצאות'!$D:$D,'כל ההוצאות'!$B:$B,"Manus AI",'כל ההוצאות'!$F:$F,"יולי 2026")</f>
        <v/>
      </c>
      <c r="AA17" s="38">
        <f>IF(Z17&gt;0,Z17*הגדרות!$B$4,"")</f>
        <v/>
      </c>
      <c r="AB17" s="37">
        <f>SUMIFS('כל ההוצאות'!$D:$D,'כל ההוצאות'!$B:$B,"Manus AI",'כל ההוצאות'!$F:$F,"אוגוסט 2026")</f>
        <v/>
      </c>
      <c r="AC17" s="38">
        <f>IF(AB17&gt;0,AB17*הגדרות!$B$4,"")</f>
        <v/>
      </c>
      <c r="AD17" s="37">
        <f>SUMIFS('כל ההוצאות'!$D:$D,'כל ההוצאות'!$B:$B,"Manus AI",'כל ההוצאות'!$F:$F,"ספטמבר 2026")</f>
        <v/>
      </c>
      <c r="AE17" s="38">
        <f>IF(AD17&gt;0,AD17*הגדרות!$B$4,"")</f>
        <v/>
      </c>
      <c r="AF17" s="37">
        <f>SUMIFS('כל ההוצאות'!$D:$D,'כל ההוצאות'!$B:$B,"Manus AI",'כל ההוצאות'!$F:$F,"אוקטובר 2026")</f>
        <v/>
      </c>
      <c r="AG17" s="38">
        <f>IF(AF17&gt;0,AF17*הגדרות!$B$4,"")</f>
        <v/>
      </c>
      <c r="AH17" s="37">
        <f>SUMIFS('כל ההוצאות'!$D:$D,'כל ההוצאות'!$B:$B,"Manus AI",'כל ההוצאות'!$F:$F,"נובמבר 2026")</f>
        <v/>
      </c>
      <c r="AI17" s="38">
        <f>IF(AH17&gt;0,AH17*הגדרות!$B$4,"")</f>
        <v/>
      </c>
      <c r="AJ17" s="37">
        <f>SUMIFS('כל ההוצאות'!$D:$D,'כל ההוצאות'!$B:$B,"Manus AI",'כל ההוצאות'!$F:$F,"דצמבר 2026")</f>
        <v/>
      </c>
      <c r="AK17" s="38">
        <f>IF(AJ17&gt;0,AJ17*הגדרות!$B$4,"")</f>
        <v/>
      </c>
      <c r="AL17" s="39">
        <f>SUM(B17,D17,F17,H17,J17,L17,N17,P17,R17,T17,V17,X17,Z17,AB17,AD17,AF17,AH17,AJ17)</f>
        <v/>
      </c>
      <c r="AM17" s="40">
        <f>IF(AL17&gt;0,AL17*הגדרות!$B$4,"")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IF(B18&gt;0,B18*הגדרות!$B$4,"")</f>
        <v/>
      </c>
      <c r="D18" s="42">
        <f>SUMIFS('כל ההוצאות'!$D:$D,'כל ההוצאות'!$B:$B,"Manychat",'כל ההוצאות'!$F:$F,"אוגוסט 2025")</f>
        <v/>
      </c>
      <c r="E18" s="43">
        <f>IF(D18&gt;0,D18*הגדרות!$B$4,"")</f>
        <v/>
      </c>
      <c r="F18" s="42">
        <f>SUMIFS('כל ההוצאות'!$D:$D,'כל ההוצאות'!$B:$B,"Manychat",'כל ההוצאות'!$F:$F,"ספטמבר 2025")</f>
        <v/>
      </c>
      <c r="G18" s="43">
        <f>IF(F18&gt;0,F18*הגדרות!$B$4,"")</f>
        <v/>
      </c>
      <c r="H18" s="42">
        <f>SUMIFS('כל ההוצאות'!$D:$D,'כל ההוצאות'!$B:$B,"Manychat",'כל ההוצאות'!$F:$F,"אוקטובר 2025")</f>
        <v/>
      </c>
      <c r="I18" s="43">
        <f>IF(H18&gt;0,H18*הגדרות!$B$4,"")</f>
        <v/>
      </c>
      <c r="J18" s="42">
        <f>SUMIFS('כל ההוצאות'!$D:$D,'כל ההוצאות'!$B:$B,"Manychat",'כל ההוצאות'!$F:$F,"נובמבר 2025")</f>
        <v/>
      </c>
      <c r="K18" s="43">
        <f>IF(J18&gt;0,J18*הגדרות!$B$4,"")</f>
        <v/>
      </c>
      <c r="L18" s="42">
        <f>SUMIFS('כל ההוצאות'!$D:$D,'כל ההוצאות'!$B:$B,"Manychat",'כל ההוצאות'!$F:$F,"דצמבר 2025")</f>
        <v/>
      </c>
      <c r="M18" s="43">
        <f>IF(L18&gt;0,L18*הגדרות!$B$4,"")</f>
        <v/>
      </c>
      <c r="N18" s="42">
        <f>SUMIFS('כל ההוצאות'!$D:$D,'כל ההוצאות'!$B:$B,"Manychat",'כל ההוצאות'!$F:$F,"ינואר 2026")</f>
        <v/>
      </c>
      <c r="O18" s="43">
        <f>IF(N18&gt;0,N18*הגדרות!$B$4,"")</f>
        <v/>
      </c>
      <c r="P18" s="42">
        <f>SUMIFS('כל ההוצאות'!$D:$D,'כל ההוצאות'!$B:$B,"Manychat",'כל ההוצאות'!$F:$F,"פברואר 2026")</f>
        <v/>
      </c>
      <c r="Q18" s="43">
        <f>IF(P18&gt;0,P18*הגדרות!$B$4,"")</f>
        <v/>
      </c>
      <c r="R18" s="42">
        <f>SUMIFS('כל ההוצאות'!$D:$D,'כל ההוצאות'!$B:$B,"Manychat",'כל ההוצאות'!$F:$F,"מרץ 2026")</f>
        <v/>
      </c>
      <c r="S18" s="43">
        <f>IF(R18&gt;0,R18*הגדרות!$B$4,"")</f>
        <v/>
      </c>
      <c r="T18" s="42">
        <f>SUMIFS('כל ההוצאות'!$D:$D,'כל ההוצאות'!$B:$B,"Manychat",'כל ההוצאות'!$F:$F,"אפריל 2026")</f>
        <v/>
      </c>
      <c r="U18" s="43">
        <f>IF(T18&gt;0,T18*הגדרות!$B$4,"")</f>
        <v/>
      </c>
      <c r="V18" s="42">
        <f>SUMIFS('כל ההוצאות'!$D:$D,'כל ההוצאות'!$B:$B,"Manychat",'כל ההוצאות'!$F:$F,"מאי 2026")</f>
        <v/>
      </c>
      <c r="W18" s="43">
        <f>IF(V18&gt;0,V18*הגדרות!$B$4,"")</f>
        <v/>
      </c>
      <c r="X18" s="42">
        <f>SUMIFS('כל ההוצאות'!$D:$D,'כל ההוצאות'!$B:$B,"Manychat",'כל ההוצאות'!$F:$F,"יוני 2026")</f>
        <v/>
      </c>
      <c r="Y18" s="43">
        <f>IF(X18&gt;0,X18*הגדרות!$B$4,"")</f>
        <v/>
      </c>
      <c r="Z18" s="42">
        <f>SUMIFS('כל ההוצאות'!$D:$D,'כל ההוצאות'!$B:$B,"Manychat",'כל ההוצאות'!$F:$F,"יולי 2026")</f>
        <v/>
      </c>
      <c r="AA18" s="43">
        <f>IF(Z18&gt;0,Z18*הגדרות!$B$4,"")</f>
        <v/>
      </c>
      <c r="AB18" s="42">
        <f>SUMIFS('כל ההוצאות'!$D:$D,'כל ההוצאות'!$B:$B,"Manychat",'כל ההוצאות'!$F:$F,"אוגוסט 2026")</f>
        <v/>
      </c>
      <c r="AC18" s="43">
        <f>IF(AB18&gt;0,AB18*הגדרות!$B$4,"")</f>
        <v/>
      </c>
      <c r="AD18" s="42">
        <f>SUMIFS('כל ההוצאות'!$D:$D,'כל ההוצאות'!$B:$B,"Manychat",'כל ההוצאות'!$F:$F,"ספטמבר 2026")</f>
        <v/>
      </c>
      <c r="AE18" s="43">
        <f>IF(AD18&gt;0,AD18*הגדרות!$B$4,"")</f>
        <v/>
      </c>
      <c r="AF18" s="42">
        <f>SUMIFS('כל ההוצאות'!$D:$D,'כל ההוצאות'!$B:$B,"Manychat",'כל ההוצאות'!$F:$F,"אוקטובר 2026")</f>
        <v/>
      </c>
      <c r="AG18" s="43">
        <f>IF(AF18&gt;0,AF18*הגדרות!$B$4,"")</f>
        <v/>
      </c>
      <c r="AH18" s="42">
        <f>SUMIFS('כל ההוצאות'!$D:$D,'כל ההוצאות'!$B:$B,"Manychat",'כל ההוצאות'!$F:$F,"נובמבר 2026")</f>
        <v/>
      </c>
      <c r="AI18" s="43">
        <f>IF(AH18&gt;0,AH18*הגדרות!$B$4,"")</f>
        <v/>
      </c>
      <c r="AJ18" s="42">
        <f>SUMIFS('כל ההוצאות'!$D:$D,'כל ההוצאות'!$B:$B,"Manychat",'כל ההוצאות'!$F:$F,"דצמבר 2026")</f>
        <v/>
      </c>
      <c r="AK18" s="43">
        <f>IF(AJ18&gt;0,AJ18*הגדרות!$B$4,"")</f>
        <v/>
      </c>
      <c r="AL18" s="39">
        <f>SUM(B18,D18,F18,H18,J18,L18,N18,P18,R18,T18,V18,X18,Z18,AB18,AD18,AF18,AH18,AJ18)</f>
        <v/>
      </c>
      <c r="AM18" s="40">
        <f>IF(AL18&gt;0,AL18*הגדרות!$B$4,"")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IF(B19&gt;0,B19*הגדרות!$B$4,"")</f>
        <v/>
      </c>
      <c r="D19" s="37">
        <f>SUMIFS('כל ההוצאות'!$D:$D,'כל ההוצאות'!$B:$B,"Meta (Ads)",'כל ההוצאות'!$F:$F,"אוגוסט 2025")</f>
        <v/>
      </c>
      <c r="E19" s="38">
        <f>IF(D19&gt;0,D19*הגדרות!$B$4,"")</f>
        <v/>
      </c>
      <c r="F19" s="37">
        <f>SUMIFS('כל ההוצאות'!$D:$D,'כל ההוצאות'!$B:$B,"Meta (Ads)",'כל ההוצאות'!$F:$F,"ספטמבר 2025")</f>
        <v/>
      </c>
      <c r="G19" s="38">
        <f>IF(F19&gt;0,F19*הגדרות!$B$4,"")</f>
        <v/>
      </c>
      <c r="H19" s="37">
        <f>SUMIFS('כל ההוצאות'!$D:$D,'כל ההוצאות'!$B:$B,"Meta (Ads)",'כל ההוצאות'!$F:$F,"אוקטובר 2025")</f>
        <v/>
      </c>
      <c r="I19" s="38">
        <f>IF(H19&gt;0,H19*הגדרות!$B$4,"")</f>
        <v/>
      </c>
      <c r="J19" s="37">
        <f>SUMIFS('כל ההוצאות'!$D:$D,'כל ההוצאות'!$B:$B,"Meta (Ads)",'כל ההוצאות'!$F:$F,"נובמבר 2025")</f>
        <v/>
      </c>
      <c r="K19" s="38">
        <f>IF(J19&gt;0,J19*הגדרות!$B$4,"")</f>
        <v/>
      </c>
      <c r="L19" s="37">
        <f>SUMIFS('כל ההוצאות'!$D:$D,'כל ההוצאות'!$B:$B,"Meta (Ads)",'כל ההוצאות'!$F:$F,"דצמבר 2025")</f>
        <v/>
      </c>
      <c r="M19" s="38">
        <f>IF(L19&gt;0,L19*הגדרות!$B$4,"")</f>
        <v/>
      </c>
      <c r="N19" s="37">
        <f>SUMIFS('כל ההוצאות'!$D:$D,'כל ההוצאות'!$B:$B,"Meta (Ads)",'כל ההוצאות'!$F:$F,"ינואר 2026")</f>
        <v/>
      </c>
      <c r="O19" s="38">
        <f>IF(N19&gt;0,N19*הגדרות!$B$4,"")</f>
        <v/>
      </c>
      <c r="P19" s="37">
        <f>SUMIFS('כל ההוצאות'!$D:$D,'כל ההוצאות'!$B:$B,"Meta (Ads)",'כל ההוצאות'!$F:$F,"פברואר 2026")</f>
        <v/>
      </c>
      <c r="Q19" s="38">
        <f>IF(P19&gt;0,P19*הגדרות!$B$4,"")</f>
        <v/>
      </c>
      <c r="R19" s="37">
        <f>SUMIFS('כל ההוצאות'!$D:$D,'כל ההוצאות'!$B:$B,"Meta (Ads)",'כל ההוצאות'!$F:$F,"מרץ 2026")</f>
        <v/>
      </c>
      <c r="S19" s="38">
        <f>IF(R19&gt;0,R19*הגדרות!$B$4,"")</f>
        <v/>
      </c>
      <c r="T19" s="37">
        <f>SUMIFS('כל ההוצאות'!$D:$D,'כל ההוצאות'!$B:$B,"Meta (Ads)",'כל ההוצאות'!$F:$F,"אפריל 2026")</f>
        <v/>
      </c>
      <c r="U19" s="38">
        <f>IF(T19&gt;0,T19*הגדרות!$B$4,"")</f>
        <v/>
      </c>
      <c r="V19" s="37">
        <f>SUMIFS('כל ההוצאות'!$D:$D,'כל ההוצאות'!$B:$B,"Meta (Ads)",'כל ההוצאות'!$F:$F,"מאי 2026")</f>
        <v/>
      </c>
      <c r="W19" s="38">
        <f>IF(V19&gt;0,V19*הגדרות!$B$4,"")</f>
        <v/>
      </c>
      <c r="X19" s="37">
        <f>SUMIFS('כל ההוצאות'!$D:$D,'כל ההוצאות'!$B:$B,"Meta (Ads)",'כל ההוצאות'!$F:$F,"יוני 2026")</f>
        <v/>
      </c>
      <c r="Y19" s="38">
        <f>IF(X19&gt;0,X19*הגדרות!$B$4,"")</f>
        <v/>
      </c>
      <c r="Z19" s="37">
        <f>SUMIFS('כל ההוצאות'!$D:$D,'כל ההוצאות'!$B:$B,"Meta (Ads)",'כל ההוצאות'!$F:$F,"יולי 2026")</f>
        <v/>
      </c>
      <c r="AA19" s="38">
        <f>IF(Z19&gt;0,Z19*הגדרות!$B$4,"")</f>
        <v/>
      </c>
      <c r="AB19" s="37">
        <f>SUMIFS('כל ההוצאות'!$D:$D,'כל ההוצאות'!$B:$B,"Meta (Ads)",'כל ההוצאות'!$F:$F,"אוגוסט 2026")</f>
        <v/>
      </c>
      <c r="AC19" s="38">
        <f>IF(AB19&gt;0,AB19*הגדרות!$B$4,"")</f>
        <v/>
      </c>
      <c r="AD19" s="37">
        <f>SUMIFS('כל ההוצאות'!$D:$D,'כל ההוצאות'!$B:$B,"Meta (Ads)",'כל ההוצאות'!$F:$F,"ספטמבר 2026")</f>
        <v/>
      </c>
      <c r="AE19" s="38">
        <f>IF(AD19&gt;0,AD19*הגדרות!$B$4,"")</f>
        <v/>
      </c>
      <c r="AF19" s="37">
        <f>SUMIFS('כל ההוצאות'!$D:$D,'כל ההוצאות'!$B:$B,"Meta (Ads)",'כל ההוצאות'!$F:$F,"אוקטובר 2026")</f>
        <v/>
      </c>
      <c r="AG19" s="38">
        <f>IF(AF19&gt;0,AF19*הגדרות!$B$4,"")</f>
        <v/>
      </c>
      <c r="AH19" s="37">
        <f>SUMIFS('כל ההוצאות'!$D:$D,'כל ההוצאות'!$B:$B,"Meta (Ads)",'כל ההוצאות'!$F:$F,"נובמבר 2026")</f>
        <v/>
      </c>
      <c r="AI19" s="38">
        <f>IF(AH19&gt;0,AH19*הגדרות!$B$4,"")</f>
        <v/>
      </c>
      <c r="AJ19" s="37">
        <f>SUMIFS('כל ההוצאות'!$D:$D,'כל ההוצאות'!$B:$B,"Meta (Ads)",'כל ההוצאות'!$F:$F,"דצמבר 2026")</f>
        <v/>
      </c>
      <c r="AK19" s="38">
        <f>IF(AJ19&gt;0,AJ19*הגדרות!$B$4,"")</f>
        <v/>
      </c>
      <c r="AL19" s="39">
        <f>SUM(B19,D19,F19,H19,J19,L19,N19,P19,R19,T19,V19,X19,Z19,AB19,AD19,AF19,AH19,AJ19)</f>
        <v/>
      </c>
      <c r="AM19" s="40">
        <f>IF(AL19&gt;0,AL19*הגדרות!$B$4,"")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IF(B20&gt;0,B20*הגדרות!$B$4,"")</f>
        <v/>
      </c>
      <c r="D20" s="42">
        <f>SUMIFS('כל ההוצאות'!$D:$D,'כל ההוצאות'!$B:$B,"OpenAI",'כל ההוצאות'!$F:$F,"אוגוסט 2025")</f>
        <v/>
      </c>
      <c r="E20" s="43">
        <f>IF(D20&gt;0,D20*הגדרות!$B$4,"")</f>
        <v/>
      </c>
      <c r="F20" s="42">
        <f>SUMIFS('כל ההוצאות'!$D:$D,'כל ההוצאות'!$B:$B,"OpenAI",'כל ההוצאות'!$F:$F,"ספטמבר 2025")</f>
        <v/>
      </c>
      <c r="G20" s="43">
        <f>IF(F20&gt;0,F20*הגדרות!$B$4,"")</f>
        <v/>
      </c>
      <c r="H20" s="42">
        <f>SUMIFS('כל ההוצאות'!$D:$D,'כל ההוצאות'!$B:$B,"OpenAI",'כל ההוצאות'!$F:$F,"אוקטובר 2025")</f>
        <v/>
      </c>
      <c r="I20" s="43">
        <f>IF(H20&gt;0,H20*הגדרות!$B$4,"")</f>
        <v/>
      </c>
      <c r="J20" s="42">
        <f>SUMIFS('כל ההוצאות'!$D:$D,'כל ההוצאות'!$B:$B,"OpenAI",'כל ההוצאות'!$F:$F,"נובמבר 2025")</f>
        <v/>
      </c>
      <c r="K20" s="43">
        <f>IF(J20&gt;0,J20*הגדרות!$B$4,"")</f>
        <v/>
      </c>
      <c r="L20" s="42">
        <f>SUMIFS('כל ההוצאות'!$D:$D,'כל ההוצאות'!$B:$B,"OpenAI",'כל ההוצאות'!$F:$F,"דצמבר 2025")</f>
        <v/>
      </c>
      <c r="M20" s="43">
        <f>IF(L20&gt;0,L20*הגדרות!$B$4,"")</f>
        <v/>
      </c>
      <c r="N20" s="42">
        <f>SUMIFS('כל ההוצאות'!$D:$D,'כל ההוצאות'!$B:$B,"OpenAI",'כל ההוצאות'!$F:$F,"ינואר 2026")</f>
        <v/>
      </c>
      <c r="O20" s="43">
        <f>IF(N20&gt;0,N20*הגדרות!$B$4,"")</f>
        <v/>
      </c>
      <c r="P20" s="42">
        <f>SUMIFS('כל ההוצאות'!$D:$D,'כל ההוצאות'!$B:$B,"OpenAI",'כל ההוצאות'!$F:$F,"פברואר 2026")</f>
        <v/>
      </c>
      <c r="Q20" s="43">
        <f>IF(P20&gt;0,P20*הגדרות!$B$4,"")</f>
        <v/>
      </c>
      <c r="R20" s="42">
        <f>SUMIFS('כל ההוצאות'!$D:$D,'כל ההוצאות'!$B:$B,"OpenAI",'כל ההוצאות'!$F:$F,"מרץ 2026")</f>
        <v/>
      </c>
      <c r="S20" s="43">
        <f>IF(R20&gt;0,R20*הגדרות!$B$4,"")</f>
        <v/>
      </c>
      <c r="T20" s="42">
        <f>SUMIFS('כל ההוצאות'!$D:$D,'כל ההוצאות'!$B:$B,"OpenAI",'כל ההוצאות'!$F:$F,"אפריל 2026")</f>
        <v/>
      </c>
      <c r="U20" s="43">
        <f>IF(T20&gt;0,T20*הגדרות!$B$4,"")</f>
        <v/>
      </c>
      <c r="V20" s="42">
        <f>SUMIFS('כל ההוצאות'!$D:$D,'כל ההוצאות'!$B:$B,"OpenAI",'כל ההוצאות'!$F:$F,"מאי 2026")</f>
        <v/>
      </c>
      <c r="W20" s="43">
        <f>IF(V20&gt;0,V20*הגדרות!$B$4,"")</f>
        <v/>
      </c>
      <c r="X20" s="42">
        <f>SUMIFS('כל ההוצאות'!$D:$D,'כל ההוצאות'!$B:$B,"OpenAI",'כל ההוצאות'!$F:$F,"יוני 2026")</f>
        <v/>
      </c>
      <c r="Y20" s="43">
        <f>IF(X20&gt;0,X20*הגדרות!$B$4,"")</f>
        <v/>
      </c>
      <c r="Z20" s="42">
        <f>SUMIFS('כל ההוצאות'!$D:$D,'כל ההוצאות'!$B:$B,"OpenAI",'כל ההוצאות'!$F:$F,"יולי 2026")</f>
        <v/>
      </c>
      <c r="AA20" s="43">
        <f>IF(Z20&gt;0,Z20*הגדרות!$B$4,"")</f>
        <v/>
      </c>
      <c r="AB20" s="42">
        <f>SUMIFS('כל ההוצאות'!$D:$D,'כל ההוצאות'!$B:$B,"OpenAI",'כל ההוצאות'!$F:$F,"אוגוסט 2026")</f>
        <v/>
      </c>
      <c r="AC20" s="43">
        <f>IF(AB20&gt;0,AB20*הגדרות!$B$4,"")</f>
        <v/>
      </c>
      <c r="AD20" s="42">
        <f>SUMIFS('כל ההוצאות'!$D:$D,'כל ההוצאות'!$B:$B,"OpenAI",'כל ההוצאות'!$F:$F,"ספטמבר 2026")</f>
        <v/>
      </c>
      <c r="AE20" s="43">
        <f>IF(AD20&gt;0,AD20*הגדרות!$B$4,"")</f>
        <v/>
      </c>
      <c r="AF20" s="42">
        <f>SUMIFS('כל ההוצאות'!$D:$D,'כל ההוצאות'!$B:$B,"OpenAI",'כל ההוצאות'!$F:$F,"אוקטובר 2026")</f>
        <v/>
      </c>
      <c r="AG20" s="43">
        <f>IF(AF20&gt;0,AF20*הגדרות!$B$4,"")</f>
        <v/>
      </c>
      <c r="AH20" s="42">
        <f>SUMIFS('כל ההוצאות'!$D:$D,'כל ההוצאות'!$B:$B,"OpenAI",'כל ההוצאות'!$F:$F,"נובמבר 2026")</f>
        <v/>
      </c>
      <c r="AI20" s="43">
        <f>IF(AH20&gt;0,AH20*הגדרות!$B$4,"")</f>
        <v/>
      </c>
      <c r="AJ20" s="42">
        <f>SUMIFS('כל ההוצאות'!$D:$D,'כל ההוצאות'!$B:$B,"OpenAI",'כל ההוצאות'!$F:$F,"דצמבר 2026")</f>
        <v/>
      </c>
      <c r="AK20" s="43">
        <f>IF(AJ20&gt;0,AJ20*הגדרות!$B$4,"")</f>
        <v/>
      </c>
      <c r="AL20" s="39">
        <f>SUM(B20,D20,F20,H20,J20,L20,N20,P20,R20,T20,V20,X20,Z20,AB20,AD20,AF20,AH20,AJ20)</f>
        <v/>
      </c>
      <c r="AM20" s="40">
        <f>IF(AL20&gt;0,AL20*הגדרות!$B$4,"")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IF(B21&gt;0,B21*הגדרות!$B$4,"")</f>
        <v/>
      </c>
      <c r="D21" s="37">
        <f>SUMIFS('כל ההוצאות'!$D:$D,'כל ההוצאות'!$B:$B,"Recraft",'כל ההוצאות'!$F:$F,"אוגוסט 2025")</f>
        <v/>
      </c>
      <c r="E21" s="38">
        <f>IF(D21&gt;0,D21*הגדרות!$B$4,"")</f>
        <v/>
      </c>
      <c r="F21" s="37">
        <f>SUMIFS('כל ההוצאות'!$D:$D,'כל ההוצאות'!$B:$B,"Recraft",'כל ההוצאות'!$F:$F,"ספטמבר 2025")</f>
        <v/>
      </c>
      <c r="G21" s="38">
        <f>IF(F21&gt;0,F21*הגדרות!$B$4,"")</f>
        <v/>
      </c>
      <c r="H21" s="37">
        <f>SUMIFS('כל ההוצאות'!$D:$D,'כל ההוצאות'!$B:$B,"Recraft",'כל ההוצאות'!$F:$F,"אוקטובר 2025")</f>
        <v/>
      </c>
      <c r="I21" s="38">
        <f>IF(H21&gt;0,H21*הגדרות!$B$4,"")</f>
        <v/>
      </c>
      <c r="J21" s="37">
        <f>SUMIFS('כל ההוצאות'!$D:$D,'כל ההוצאות'!$B:$B,"Recraft",'כל ההוצאות'!$F:$F,"נובמבר 2025")</f>
        <v/>
      </c>
      <c r="K21" s="38">
        <f>IF(J21&gt;0,J21*הגדרות!$B$4,"")</f>
        <v/>
      </c>
      <c r="L21" s="37">
        <f>SUMIFS('כל ההוצאות'!$D:$D,'כל ההוצאות'!$B:$B,"Recraft",'כל ההוצאות'!$F:$F,"דצמבר 2025")</f>
        <v/>
      </c>
      <c r="M21" s="38">
        <f>IF(L21&gt;0,L21*הגדרות!$B$4,"")</f>
        <v/>
      </c>
      <c r="N21" s="37">
        <f>SUMIFS('כל ההוצאות'!$D:$D,'כל ההוצאות'!$B:$B,"Recraft",'כל ההוצאות'!$F:$F,"ינואר 2026")</f>
        <v/>
      </c>
      <c r="O21" s="38">
        <f>IF(N21&gt;0,N21*הגדרות!$B$4,"")</f>
        <v/>
      </c>
      <c r="P21" s="37">
        <f>SUMIFS('כל ההוצאות'!$D:$D,'כל ההוצאות'!$B:$B,"Recraft",'כל ההוצאות'!$F:$F,"פברואר 2026")</f>
        <v/>
      </c>
      <c r="Q21" s="38">
        <f>IF(P21&gt;0,P21*הגדרות!$B$4,"")</f>
        <v/>
      </c>
      <c r="R21" s="37">
        <f>SUMIFS('כל ההוצאות'!$D:$D,'כל ההוצאות'!$B:$B,"Recraft",'כל ההוצאות'!$F:$F,"מרץ 2026")</f>
        <v/>
      </c>
      <c r="S21" s="38">
        <f>IF(R21&gt;0,R21*הגדרות!$B$4,"")</f>
        <v/>
      </c>
      <c r="T21" s="37">
        <f>SUMIFS('כל ההוצאות'!$D:$D,'כל ההוצאות'!$B:$B,"Recraft",'כל ההוצאות'!$F:$F,"אפריל 2026")</f>
        <v/>
      </c>
      <c r="U21" s="38">
        <f>IF(T21&gt;0,T21*הגדרות!$B$4,"")</f>
        <v/>
      </c>
      <c r="V21" s="37">
        <f>SUMIFS('כל ההוצאות'!$D:$D,'כל ההוצאות'!$B:$B,"Recraft",'כל ההוצאות'!$F:$F,"מאי 2026")</f>
        <v/>
      </c>
      <c r="W21" s="38">
        <f>IF(V21&gt;0,V21*הגדרות!$B$4,"")</f>
        <v/>
      </c>
      <c r="X21" s="37">
        <f>SUMIFS('כל ההוצאות'!$D:$D,'כל ההוצאות'!$B:$B,"Recraft",'כל ההוצאות'!$F:$F,"יוני 2026")</f>
        <v/>
      </c>
      <c r="Y21" s="38">
        <f>IF(X21&gt;0,X21*הגדרות!$B$4,"")</f>
        <v/>
      </c>
      <c r="Z21" s="37">
        <f>SUMIFS('כל ההוצאות'!$D:$D,'כל ההוצאות'!$B:$B,"Recraft",'כל ההוצאות'!$F:$F,"יולי 2026")</f>
        <v/>
      </c>
      <c r="AA21" s="38">
        <f>IF(Z21&gt;0,Z21*הגדרות!$B$4,"")</f>
        <v/>
      </c>
      <c r="AB21" s="37">
        <f>SUMIFS('כל ההוצאות'!$D:$D,'כל ההוצאות'!$B:$B,"Recraft",'כל ההוצאות'!$F:$F,"אוגוסט 2026")</f>
        <v/>
      </c>
      <c r="AC21" s="38">
        <f>IF(AB21&gt;0,AB21*הגדרות!$B$4,"")</f>
        <v/>
      </c>
      <c r="AD21" s="37">
        <f>SUMIFS('כל ההוצאות'!$D:$D,'כל ההוצאות'!$B:$B,"Recraft",'כל ההוצאות'!$F:$F,"ספטמבר 2026")</f>
        <v/>
      </c>
      <c r="AE21" s="38">
        <f>IF(AD21&gt;0,AD21*הגדרות!$B$4,"")</f>
        <v/>
      </c>
      <c r="AF21" s="37">
        <f>SUMIFS('כל ההוצאות'!$D:$D,'כל ההוצאות'!$B:$B,"Recraft",'כל ההוצאות'!$F:$F,"אוקטובר 2026")</f>
        <v/>
      </c>
      <c r="AG21" s="38">
        <f>IF(AF21&gt;0,AF21*הגדרות!$B$4,"")</f>
        <v/>
      </c>
      <c r="AH21" s="37">
        <f>SUMIFS('כל ההוצאות'!$D:$D,'כל ההוצאות'!$B:$B,"Recraft",'כל ההוצאות'!$F:$F,"נובמבר 2026")</f>
        <v/>
      </c>
      <c r="AI21" s="38">
        <f>IF(AH21&gt;0,AH21*הגדרות!$B$4,"")</f>
        <v/>
      </c>
      <c r="AJ21" s="37">
        <f>SUMIFS('כל ההוצאות'!$D:$D,'כל ההוצאות'!$B:$B,"Recraft",'כל ההוצאות'!$F:$F,"דצמבר 2026")</f>
        <v/>
      </c>
      <c r="AK21" s="38">
        <f>IF(AJ21&gt;0,AJ21*הגדרות!$B$4,"")</f>
        <v/>
      </c>
      <c r="AL21" s="39">
        <f>SUM(B21,D21,F21,H21,J21,L21,N21,P21,R21,T21,V21,X21,Z21,AB21,AD21,AF21,AH21,AJ21)</f>
        <v/>
      </c>
      <c r="AM21" s="40">
        <f>IF(AL21&gt;0,AL21*הגדרות!$B$4,"")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IF(B22&gt;0,B22*הגדרות!$B$4,"")</f>
        <v/>
      </c>
      <c r="D22" s="42">
        <f>SUMIFS('כל ההוצאות'!$D:$D,'כל ההוצאות'!$B:$B,"Replicate",'כל ההוצאות'!$F:$F,"אוגוסט 2025")</f>
        <v/>
      </c>
      <c r="E22" s="43">
        <f>IF(D22&gt;0,D22*הגדרות!$B$4,"")</f>
        <v/>
      </c>
      <c r="F22" s="42">
        <f>SUMIFS('כל ההוצאות'!$D:$D,'כל ההוצאות'!$B:$B,"Replicate",'כל ההוצאות'!$F:$F,"ספטמבר 2025")</f>
        <v/>
      </c>
      <c r="G22" s="43">
        <f>IF(F22&gt;0,F22*הגדרות!$B$4,"")</f>
        <v/>
      </c>
      <c r="H22" s="42">
        <f>SUMIFS('כל ההוצאות'!$D:$D,'כל ההוצאות'!$B:$B,"Replicate",'כל ההוצאות'!$F:$F,"אוקטובר 2025")</f>
        <v/>
      </c>
      <c r="I22" s="43">
        <f>IF(H22&gt;0,H22*הגדרות!$B$4,"")</f>
        <v/>
      </c>
      <c r="J22" s="42">
        <f>SUMIFS('כל ההוצאות'!$D:$D,'כל ההוצאות'!$B:$B,"Replicate",'כל ההוצאות'!$F:$F,"נובמבר 2025")</f>
        <v/>
      </c>
      <c r="K22" s="43">
        <f>IF(J22&gt;0,J22*הגדרות!$B$4,"")</f>
        <v/>
      </c>
      <c r="L22" s="42">
        <f>SUMIFS('כל ההוצאות'!$D:$D,'כל ההוצאות'!$B:$B,"Replicate",'כל ההוצאות'!$F:$F,"דצמבר 2025")</f>
        <v/>
      </c>
      <c r="M22" s="43">
        <f>IF(L22&gt;0,L22*הגדרות!$B$4,"")</f>
        <v/>
      </c>
      <c r="N22" s="42">
        <f>SUMIFS('כל ההוצאות'!$D:$D,'כל ההוצאות'!$B:$B,"Replicate",'כל ההוצאות'!$F:$F,"ינואר 2026")</f>
        <v/>
      </c>
      <c r="O22" s="43">
        <f>IF(N22&gt;0,N22*הגדרות!$B$4,"")</f>
        <v/>
      </c>
      <c r="P22" s="42">
        <f>SUMIFS('כל ההוצאות'!$D:$D,'כל ההוצאות'!$B:$B,"Replicate",'כל ההוצאות'!$F:$F,"פברואר 2026")</f>
        <v/>
      </c>
      <c r="Q22" s="43">
        <f>IF(P22&gt;0,P22*הגדרות!$B$4,"")</f>
        <v/>
      </c>
      <c r="R22" s="42">
        <f>SUMIFS('כל ההוצאות'!$D:$D,'כל ההוצאות'!$B:$B,"Replicate",'כל ההוצאות'!$F:$F,"מרץ 2026")</f>
        <v/>
      </c>
      <c r="S22" s="43">
        <f>IF(R22&gt;0,R22*הגדרות!$B$4,"")</f>
        <v/>
      </c>
      <c r="T22" s="42">
        <f>SUMIFS('כל ההוצאות'!$D:$D,'כל ההוצאות'!$B:$B,"Replicate",'כל ההוצאות'!$F:$F,"אפריל 2026")</f>
        <v/>
      </c>
      <c r="U22" s="43">
        <f>IF(T22&gt;0,T22*הגדרות!$B$4,"")</f>
        <v/>
      </c>
      <c r="V22" s="42">
        <f>SUMIFS('כל ההוצאות'!$D:$D,'כל ההוצאות'!$B:$B,"Replicate",'כל ההוצאות'!$F:$F,"מאי 2026")</f>
        <v/>
      </c>
      <c r="W22" s="43">
        <f>IF(V22&gt;0,V22*הגדרות!$B$4,"")</f>
        <v/>
      </c>
      <c r="X22" s="42">
        <f>SUMIFS('כל ההוצאות'!$D:$D,'כל ההוצאות'!$B:$B,"Replicate",'כל ההוצאות'!$F:$F,"יוני 2026")</f>
        <v/>
      </c>
      <c r="Y22" s="43">
        <f>IF(X22&gt;0,X22*הגדרות!$B$4,"")</f>
        <v/>
      </c>
      <c r="Z22" s="42">
        <f>SUMIFS('כל ההוצאות'!$D:$D,'כל ההוצאות'!$B:$B,"Replicate",'כל ההוצאות'!$F:$F,"יולי 2026")</f>
        <v/>
      </c>
      <c r="AA22" s="43">
        <f>IF(Z22&gt;0,Z22*הגדרות!$B$4,"")</f>
        <v/>
      </c>
      <c r="AB22" s="42">
        <f>SUMIFS('כל ההוצאות'!$D:$D,'כל ההוצאות'!$B:$B,"Replicate",'כל ההוצאות'!$F:$F,"אוגוסט 2026")</f>
        <v/>
      </c>
      <c r="AC22" s="43">
        <f>IF(AB22&gt;0,AB22*הגדרות!$B$4,"")</f>
        <v/>
      </c>
      <c r="AD22" s="42">
        <f>SUMIFS('כל ההוצאות'!$D:$D,'כל ההוצאות'!$B:$B,"Replicate",'כל ההוצאות'!$F:$F,"ספטמבר 2026")</f>
        <v/>
      </c>
      <c r="AE22" s="43">
        <f>IF(AD22&gt;0,AD22*הגדרות!$B$4,"")</f>
        <v/>
      </c>
      <c r="AF22" s="42">
        <f>SUMIFS('כל ההוצאות'!$D:$D,'כל ההוצאות'!$B:$B,"Replicate",'כל ההוצאות'!$F:$F,"אוקטובר 2026")</f>
        <v/>
      </c>
      <c r="AG22" s="43">
        <f>IF(AF22&gt;0,AF22*הגדרות!$B$4,"")</f>
        <v/>
      </c>
      <c r="AH22" s="42">
        <f>SUMIFS('כל ההוצאות'!$D:$D,'כל ההוצאות'!$B:$B,"Replicate",'כל ההוצאות'!$F:$F,"נובמבר 2026")</f>
        <v/>
      </c>
      <c r="AI22" s="43">
        <f>IF(AH22&gt;0,AH22*הגדרות!$B$4,"")</f>
        <v/>
      </c>
      <c r="AJ22" s="42">
        <f>SUMIFS('כל ההוצאות'!$D:$D,'כל ההוצאות'!$B:$B,"Replicate",'כל ההוצאות'!$F:$F,"דצמבר 2026")</f>
        <v/>
      </c>
      <c r="AK22" s="43">
        <f>IF(AJ22&gt;0,AJ22*הגדרות!$B$4,"")</f>
        <v/>
      </c>
      <c r="AL22" s="39">
        <f>SUM(B22,D22,F22,H22,J22,L22,N22,P22,R22,T22,V22,X22,Z22,AB22,AD22,AF22,AH22,AJ22)</f>
        <v/>
      </c>
      <c r="AM22" s="40">
        <f>IF(AL22&gt;0,AL22*הגדרות!$B$4,"")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IF(B23&gt;0,B23*הגדרות!$B$4,"")</f>
        <v/>
      </c>
      <c r="D23" s="37">
        <f>SUMIFS('כל ההוצאות'!$D:$D,'כל ההוצאות'!$B:$B,"Runway ML",'כל ההוצאות'!$F:$F,"אוגוסט 2025")</f>
        <v/>
      </c>
      <c r="E23" s="38">
        <f>IF(D23&gt;0,D23*הגדרות!$B$4,"")</f>
        <v/>
      </c>
      <c r="F23" s="37">
        <f>SUMIFS('כל ההוצאות'!$D:$D,'כל ההוצאות'!$B:$B,"Runway ML",'כל ההוצאות'!$F:$F,"ספטמבר 2025")</f>
        <v/>
      </c>
      <c r="G23" s="38">
        <f>IF(F23&gt;0,F23*הגדרות!$B$4,"")</f>
        <v/>
      </c>
      <c r="H23" s="37">
        <f>SUMIFS('כל ההוצאות'!$D:$D,'כל ההוצאות'!$B:$B,"Runway ML",'כל ההוצאות'!$F:$F,"אוקטובר 2025")</f>
        <v/>
      </c>
      <c r="I23" s="38">
        <f>IF(H23&gt;0,H23*הגדרות!$B$4,"")</f>
        <v/>
      </c>
      <c r="J23" s="37">
        <f>SUMIFS('כל ההוצאות'!$D:$D,'כל ההוצאות'!$B:$B,"Runway ML",'כל ההוצאות'!$F:$F,"נובמבר 2025")</f>
        <v/>
      </c>
      <c r="K23" s="38">
        <f>IF(J23&gt;0,J23*הגדרות!$B$4,"")</f>
        <v/>
      </c>
      <c r="L23" s="37">
        <f>SUMIFS('כל ההוצאות'!$D:$D,'כל ההוצאות'!$B:$B,"Runway ML",'כל ההוצאות'!$F:$F,"דצמבר 2025")</f>
        <v/>
      </c>
      <c r="M23" s="38">
        <f>IF(L23&gt;0,L23*הגדרות!$B$4,"")</f>
        <v/>
      </c>
      <c r="N23" s="37">
        <f>SUMIFS('כל ההוצאות'!$D:$D,'כל ההוצאות'!$B:$B,"Runway ML",'כל ההוצאות'!$F:$F,"ינואר 2026")</f>
        <v/>
      </c>
      <c r="O23" s="38">
        <f>IF(N23&gt;0,N23*הגדרות!$B$4,"")</f>
        <v/>
      </c>
      <c r="P23" s="37">
        <f>SUMIFS('כל ההוצאות'!$D:$D,'כל ההוצאות'!$B:$B,"Runway ML",'כל ההוצאות'!$F:$F,"פברואר 2026")</f>
        <v/>
      </c>
      <c r="Q23" s="38">
        <f>IF(P23&gt;0,P23*הגדרות!$B$4,"")</f>
        <v/>
      </c>
      <c r="R23" s="37">
        <f>SUMIFS('כל ההוצאות'!$D:$D,'כל ההוצאות'!$B:$B,"Runway ML",'כל ההוצאות'!$F:$F,"מרץ 2026")</f>
        <v/>
      </c>
      <c r="S23" s="38">
        <f>IF(R23&gt;0,R23*הגדרות!$B$4,"")</f>
        <v/>
      </c>
      <c r="T23" s="37">
        <f>SUMIFS('כל ההוצאות'!$D:$D,'כל ההוצאות'!$B:$B,"Runway ML",'כל ההוצאות'!$F:$F,"אפריל 2026")</f>
        <v/>
      </c>
      <c r="U23" s="38">
        <f>IF(T23&gt;0,T23*הגדרות!$B$4,"")</f>
        <v/>
      </c>
      <c r="V23" s="37">
        <f>SUMIFS('כל ההוצאות'!$D:$D,'כל ההוצאות'!$B:$B,"Runway ML",'כל ההוצאות'!$F:$F,"מאי 2026")</f>
        <v/>
      </c>
      <c r="W23" s="38">
        <f>IF(V23&gt;0,V23*הגדרות!$B$4,"")</f>
        <v/>
      </c>
      <c r="X23" s="37">
        <f>SUMIFS('כל ההוצאות'!$D:$D,'כל ההוצאות'!$B:$B,"Runway ML",'כל ההוצאות'!$F:$F,"יוני 2026")</f>
        <v/>
      </c>
      <c r="Y23" s="38">
        <f>IF(X23&gt;0,X23*הגדרות!$B$4,"")</f>
        <v/>
      </c>
      <c r="Z23" s="37">
        <f>SUMIFS('כל ההוצאות'!$D:$D,'כל ההוצאות'!$B:$B,"Runway ML",'כל ההוצאות'!$F:$F,"יולי 2026")</f>
        <v/>
      </c>
      <c r="AA23" s="38">
        <f>IF(Z23&gt;0,Z23*הגדרות!$B$4,"")</f>
        <v/>
      </c>
      <c r="AB23" s="37">
        <f>SUMIFS('כל ההוצאות'!$D:$D,'כל ההוצאות'!$B:$B,"Runway ML",'כל ההוצאות'!$F:$F,"אוגוסט 2026")</f>
        <v/>
      </c>
      <c r="AC23" s="38">
        <f>IF(AB23&gt;0,AB23*הגדרות!$B$4,"")</f>
        <v/>
      </c>
      <c r="AD23" s="37">
        <f>SUMIFS('כל ההוצאות'!$D:$D,'כל ההוצאות'!$B:$B,"Runway ML",'כל ההוצאות'!$F:$F,"ספטמבר 2026")</f>
        <v/>
      </c>
      <c r="AE23" s="38">
        <f>IF(AD23&gt;0,AD23*הגדרות!$B$4,"")</f>
        <v/>
      </c>
      <c r="AF23" s="37">
        <f>SUMIFS('כל ההוצאות'!$D:$D,'כל ההוצאות'!$B:$B,"Runway ML",'כל ההוצאות'!$F:$F,"אוקטובר 2026")</f>
        <v/>
      </c>
      <c r="AG23" s="38">
        <f>IF(AF23&gt;0,AF23*הגדרות!$B$4,"")</f>
        <v/>
      </c>
      <c r="AH23" s="37">
        <f>SUMIFS('כל ההוצאות'!$D:$D,'כל ההוצאות'!$B:$B,"Runway ML",'כל ההוצאות'!$F:$F,"נובמבר 2026")</f>
        <v/>
      </c>
      <c r="AI23" s="38">
        <f>IF(AH23&gt;0,AH23*הגדרות!$B$4,"")</f>
        <v/>
      </c>
      <c r="AJ23" s="37">
        <f>SUMIFS('כל ההוצאות'!$D:$D,'כל ההוצאות'!$B:$B,"Runway ML",'כל ההוצאות'!$F:$F,"דצמבר 2026")</f>
        <v/>
      </c>
      <c r="AK23" s="38">
        <f>IF(AJ23&gt;0,AJ23*הגדרות!$B$4,"")</f>
        <v/>
      </c>
      <c r="AL23" s="39">
        <f>SUM(B23,D23,F23,H23,J23,L23,N23,P23,R23,T23,V23,X23,Z23,AB23,AD23,AF23,AH23,AJ23)</f>
        <v/>
      </c>
      <c r="AM23" s="40">
        <f>IF(AL23&gt;0,AL23*הגדרות!$B$4,"")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IF(B24&gt;0,B24*הגדרות!$B$4,"")</f>
        <v/>
      </c>
      <c r="D24" s="42">
        <f>SUMIFS('כל ההוצאות'!$D:$D,'כל ההוצאות'!$B:$B,"Timeless",'כל ההוצאות'!$F:$F,"אוגוסט 2025")</f>
        <v/>
      </c>
      <c r="E24" s="43">
        <f>IF(D24&gt;0,D24*הגדרות!$B$4,"")</f>
        <v/>
      </c>
      <c r="F24" s="42">
        <f>SUMIFS('כל ההוצאות'!$D:$D,'כל ההוצאות'!$B:$B,"Timeless",'כל ההוצאות'!$F:$F,"ספטמבר 2025")</f>
        <v/>
      </c>
      <c r="G24" s="43">
        <f>IF(F24&gt;0,F24*הגדרות!$B$4,"")</f>
        <v/>
      </c>
      <c r="H24" s="42">
        <f>SUMIFS('כל ההוצאות'!$D:$D,'כל ההוצאות'!$B:$B,"Timeless",'כל ההוצאות'!$F:$F,"אוקטובר 2025")</f>
        <v/>
      </c>
      <c r="I24" s="43">
        <f>IF(H24&gt;0,H24*הגדרות!$B$4,"")</f>
        <v/>
      </c>
      <c r="J24" s="42">
        <f>SUMIFS('כל ההוצאות'!$D:$D,'כל ההוצאות'!$B:$B,"Timeless",'כל ההוצאות'!$F:$F,"נובמבר 2025")</f>
        <v/>
      </c>
      <c r="K24" s="43">
        <f>IF(J24&gt;0,J24*הגדרות!$B$4,"")</f>
        <v/>
      </c>
      <c r="L24" s="42">
        <f>SUMIFS('כל ההוצאות'!$D:$D,'כל ההוצאות'!$B:$B,"Timeless",'כל ההוצאות'!$F:$F,"דצמבר 2025")</f>
        <v/>
      </c>
      <c r="M24" s="43">
        <f>IF(L24&gt;0,L24*הגדרות!$B$4,"")</f>
        <v/>
      </c>
      <c r="N24" s="42">
        <f>SUMIFS('כל ההוצאות'!$D:$D,'כל ההוצאות'!$B:$B,"Timeless",'כל ההוצאות'!$F:$F,"ינואר 2026")</f>
        <v/>
      </c>
      <c r="O24" s="43">
        <f>IF(N24&gt;0,N24*הגדרות!$B$4,"")</f>
        <v/>
      </c>
      <c r="P24" s="42">
        <f>SUMIFS('כל ההוצאות'!$D:$D,'כל ההוצאות'!$B:$B,"Timeless",'כל ההוצאות'!$F:$F,"פברואר 2026")</f>
        <v/>
      </c>
      <c r="Q24" s="43">
        <f>IF(P24&gt;0,P24*הגדרות!$B$4,"")</f>
        <v/>
      </c>
      <c r="R24" s="42">
        <f>SUMIFS('כל ההוצאות'!$D:$D,'כל ההוצאות'!$B:$B,"Timeless",'כל ההוצאות'!$F:$F,"מרץ 2026")</f>
        <v/>
      </c>
      <c r="S24" s="43">
        <f>IF(R24&gt;0,R24*הגדרות!$B$4,"")</f>
        <v/>
      </c>
      <c r="T24" s="42">
        <f>SUMIFS('כל ההוצאות'!$D:$D,'כל ההוצאות'!$B:$B,"Timeless",'כל ההוצאות'!$F:$F,"אפריל 2026")</f>
        <v/>
      </c>
      <c r="U24" s="43">
        <f>IF(T24&gt;0,T24*הגדרות!$B$4,"")</f>
        <v/>
      </c>
      <c r="V24" s="42">
        <f>SUMIFS('כל ההוצאות'!$D:$D,'כל ההוצאות'!$B:$B,"Timeless",'כל ההוצאות'!$F:$F,"מאי 2026")</f>
        <v/>
      </c>
      <c r="W24" s="43">
        <f>IF(V24&gt;0,V24*הגדרות!$B$4,"")</f>
        <v/>
      </c>
      <c r="X24" s="42">
        <f>SUMIFS('כל ההוצאות'!$D:$D,'כל ההוצאות'!$B:$B,"Timeless",'כל ההוצאות'!$F:$F,"יוני 2026")</f>
        <v/>
      </c>
      <c r="Y24" s="43">
        <f>IF(X24&gt;0,X24*הגדרות!$B$4,"")</f>
        <v/>
      </c>
      <c r="Z24" s="42">
        <f>SUMIFS('כל ההוצאות'!$D:$D,'כל ההוצאות'!$B:$B,"Timeless",'כל ההוצאות'!$F:$F,"יולי 2026")</f>
        <v/>
      </c>
      <c r="AA24" s="43">
        <f>IF(Z24&gt;0,Z24*הגדרות!$B$4,"")</f>
        <v/>
      </c>
      <c r="AB24" s="42">
        <f>SUMIFS('כל ההוצאות'!$D:$D,'כל ההוצאות'!$B:$B,"Timeless",'כל ההוצאות'!$F:$F,"אוגוסט 2026")</f>
        <v/>
      </c>
      <c r="AC24" s="43">
        <f>IF(AB24&gt;0,AB24*הגדרות!$B$4,"")</f>
        <v/>
      </c>
      <c r="AD24" s="42">
        <f>SUMIFS('כל ההוצאות'!$D:$D,'כל ההוצאות'!$B:$B,"Timeless",'כל ההוצאות'!$F:$F,"ספטמבר 2026")</f>
        <v/>
      </c>
      <c r="AE24" s="43">
        <f>IF(AD24&gt;0,AD24*הגדרות!$B$4,"")</f>
        <v/>
      </c>
      <c r="AF24" s="42">
        <f>SUMIFS('כל ההוצאות'!$D:$D,'כל ההוצאות'!$B:$B,"Timeless",'כל ההוצאות'!$F:$F,"אוקטובר 2026")</f>
        <v/>
      </c>
      <c r="AG24" s="43">
        <f>IF(AF24&gt;0,AF24*הגדרות!$B$4,"")</f>
        <v/>
      </c>
      <c r="AH24" s="42">
        <f>SUMIFS('כל ההוצאות'!$D:$D,'כל ההוצאות'!$B:$B,"Timeless",'כל ההוצאות'!$F:$F,"נובמבר 2026")</f>
        <v/>
      </c>
      <c r="AI24" s="43">
        <f>IF(AH24&gt;0,AH24*הגדרות!$B$4,"")</f>
        <v/>
      </c>
      <c r="AJ24" s="42">
        <f>SUMIFS('כל ההוצאות'!$D:$D,'כל ההוצאות'!$B:$B,"Timeless",'כל ההוצאות'!$F:$F,"דצמבר 2026")</f>
        <v/>
      </c>
      <c r="AK24" s="43">
        <f>IF(AJ24&gt;0,AJ24*הגדרות!$B$4,"")</f>
        <v/>
      </c>
      <c r="AL24" s="39">
        <f>SUM(B24,D24,F24,H24,J24,L24,N24,P24,R24,T24,V24,X24,Z24,AB24,AD24,AF24,AH24,AJ24)</f>
        <v/>
      </c>
      <c r="AM24" s="40">
        <f>IF(AL24&gt;0,AL24*הגדרות!$B$4,"")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C4*הגדרות!$B$4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C5*הגדרות!$B$4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C6*הגדרות!$B$4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C7*הגדרות!$B$4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C8*הגדרות!$B$4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C9*הגדרות!$B$4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C10*הגדרות!$B$4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C11*הגדרות!$B$4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C12*הגדרות!$B$4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C13*הגדרות!$B$4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C14*הגדרות!$B$4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C15*הגדרות!$B$4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C16*הגדרות!$B$4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C17*הגדרות!$B$4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C18*הגדרות!$B$4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C19*הגדרות!$B$4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C20*הגדרות!$B$4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C21*הגדרות!$B$4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C23*הגדרות!$B$4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2026-04-08T09:05:25Z</dcterms:created>
  <dcterms:modified xsi:type="dcterms:W3CDTF">2026-04-08T09:05:25Z</dcterms:modified>
</cp:coreProperties>
</file>